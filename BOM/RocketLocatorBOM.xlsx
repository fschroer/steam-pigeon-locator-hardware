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<sst xmlns="http://schemas.openxmlformats.org/spreadsheetml/2006/main" count="453" uniqueCount="194">
  <si>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</si>
  <si>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</si>
  <si>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</si>
  <si>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</si>
  <si>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</si>
  <si>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</si>
  <si>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</si>
  <si>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</si>
  <si>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</si>
  <si>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</si>
  <si>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</si>
  <si>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</si>
  <si>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</si>
  <si>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</si>
  <si>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</si>
  <si>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</si>
  <si>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</si>
  <si>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</si>
  <si>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</si>
  <si>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</si>
  <si>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</si>
  <si>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</si>
  <si>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</si>
  <si>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</si>
  <si>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</si>
  <si>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</si>
  <si>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</si>
  <si>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</si>
  <si>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</si>
  <si>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</si>
  <si>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</si>
  <si>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</si>
  <si>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</si>
  <si>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</si>
  <si>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</si>
  <si>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</si>
  <si>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</si>
  <si>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</si>
  <si>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</si>
  <si>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</si>
  <si>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</si>
  <si>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</si>
  <si>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</si>
  <si>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</si>
  <si>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</si>
  <si>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</si>
  <si>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</si>
  <si>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</si>
  <si>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</si>
  <si>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</si>
  <si>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</si>
  <si>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</si>
  <si>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</si>
  <si>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</si>
  <si>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</si>
  <si>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</si>
  <si>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</si>
  <si>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</si>
  <si>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</si>
  <si>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</si>
  <si>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</si>
  <si>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</si>
  <si>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</si>
  <si>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</si>
  <si>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</si>
  <si>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</si>
  <si>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</si>
  <si>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</si>
  <si>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</si>
  <si>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</si>
  <si>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</si>
  <si>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</si>
  <si>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</si>
  <si>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</si>
  <si>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</si>
  <si>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</si>
  <si>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</si>
  <si>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</si>
  <si>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</si>
  <si>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</si>
  <si>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</si>
  <si>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</si>
  <si>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</si>
  <si>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</si>
  <si>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</si>
  <si>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</si>
  <si>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</si>
  <si>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</si>
  <si>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</si>
  <si>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</si>
  <si>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</si>
  <si>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</si>
  <si>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</si>
  <si>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</si>
  <si>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</si>
  <si>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</si>
  <si>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</si>
  <si>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</si>
  <si>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</si>
  <si>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</si>
  <si>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</si>
  <si>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</si>
  <si>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</si>
  <si>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</si>
  <si>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</si>
  <si>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</si>
  <si>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</si>
  <si>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</si>
  <si>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</si>
  <si>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</si>
  <si>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</si>
  <si>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</si>
  <si>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</si>
  <si>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</si>
  <si>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</si>
  <si>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</si>
  <si>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</si>
  <si>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</si>
  <si>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</si>
  <si>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</si>
  <si>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</si>
  <si>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</si>
  <si>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</si>
  <si>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</si>
  <si>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</si>
  <si>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</si>
  <si>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</si>
  <si>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</si>
  <si>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</si>
  <si>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</si>
  <si>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</si>
  <si>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</si>
  <si>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</si>
  <si>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</si>
  <si>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</si>
  <si>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</si>
  <si>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</si>
  <si>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</si>
  <si>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</si>
  <si>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</si>
  <si>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</si>
  <si>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</si>
  <si>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</si>
  <si>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</si>
  <si>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</si>
  <si>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</si>
  <si>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</si>
  <si>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</si>
  <si>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</si>
  <si>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</si>
  <si>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</si>
  <si>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</si>
  <si>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</si>
  <si>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</si>
  <si>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</si>
  <si>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</si>
  <si>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</si>
  <si>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</si>
  <si>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</si>
  <si>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</si>
  <si>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</si>
  <si>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</si>
  <si>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</si>
  <si>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</si>
  <si>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</si>
  <si>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</si>
  <si>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</si>
  <si>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</si>
  <si>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</si>
  <si>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</si>
  <si>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</si>
  <si>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</si>
  <si>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</si>
  <si>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</si>
  <si>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</si>
  <si>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</si>
  <si>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</si>
  <si>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</si>
  <si>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</si>
  <si>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</si>
  <si>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</si>
  <si>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</si>
  <si>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</si>
  <si>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</si>
  <si>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</si>
  <si>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</si>
  <si>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</si>
  <si>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</si>
  <si>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</si>
  <si>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</si>
  <si>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</si>
  <si>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</t>
  </si>
  <si>
    <t>C1,C6,C8,C9,C10,C20,C36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</si>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</sst>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4" tableType="queryTable" totalsRowShown="0">
  <autoFilter ref="A1:Q54" xr:uid="{4C7D4CDA-AFCF-44BD-8318-990371684043}"/>
  <sortState xmlns:xlrd2="http://schemas.microsoft.com/office/spreadsheetml/2017/richdata2" ref="A2:P54">
    <sortCondition ref="B2:B54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s">
        <v>192</v>
      </c>
      <c r="C6" t="s">
        <v>15</v>
      </c>
      <c r="D6" t="s">
        <v>120</v>
      </c>
    </row>
    <row r="7" spans="1:4" x14ac:dyDescent="0.45">
      <c r="A7" t="s">
        <v>27</v>
      </c>
      <c r="B7" t="s">
        <v>170</v>
      </c>
      <c r="C7" t="s">
        <v>172</v>
      </c>
      <c r="D7" t="s">
        <v>171</v>
      </c>
    </row>
    <row r="8" spans="1:4" x14ac:dyDescent="0.45">
      <c r="A8" t="s">
        <v>159</v>
      </c>
      <c r="B8" t="s">
        <v>167</v>
      </c>
      <c r="C8" t="s">
        <v>172</v>
      </c>
      <c r="D8" t="s">
        <v>178</v>
      </c>
    </row>
    <row r="9" spans="1:4" x14ac:dyDescent="0.45">
      <c r="A9" t="s">
        <v>166</v>
      </c>
      <c r="B9" t="s">
        <v>158</v>
      </c>
      <c r="C9" t="s">
        <v>15</v>
      </c>
      <c r="D9" t="s">
        <v>177</v>
      </c>
    </row>
    <row r="10" spans="1:4" x14ac:dyDescent="0.45">
      <c r="A10" t="s">
        <v>68</v>
      </c>
      <c r="B10" t="s">
        <v>66</v>
      </c>
      <c r="C10" t="s">
        <v>67</v>
      </c>
      <c r="D10" t="s">
        <v>121</v>
      </c>
    </row>
    <row r="11" spans="1:4" x14ac:dyDescent="0.45">
      <c r="A11" t="s">
        <v>34</v>
      </c>
      <c r="B11" t="s">
        <v>33</v>
      </c>
      <c r="C11" t="s">
        <v>34</v>
      </c>
      <c r="D11" t="s">
        <v>122</v>
      </c>
    </row>
    <row r="12" spans="1:4" x14ac:dyDescent="0.45">
      <c r="A12" t="s">
        <v>37</v>
      </c>
      <c r="B12" t="s">
        <v>35</v>
      </c>
      <c r="C12" t="s">
        <v>36</v>
      </c>
      <c r="D12" t="s">
        <v>124</v>
      </c>
    </row>
    <row r="13" spans="1:4" x14ac:dyDescent="0.45">
      <c r="A13" t="s">
        <v>41</v>
      </c>
      <c r="B13" t="s">
        <v>39</v>
      </c>
      <c r="C13" t="inlineStr">
        <is>
          <t xml:space="preserve">HRS_U.FL-R-SMT(01)</t>
        </is>
      </c>
      <c r="D13" t="s">
        <v>125</v>
      </c>
    </row>
    <row r="14" spans="1:4" x14ac:dyDescent="0.45">
      <c r="A14" t="s">
        <v>22</v>
      </c>
      <c r="B14" t="s">
        <v>163</v>
      </c>
      <c r="C14" t="s">
        <v>18</v>
      </c>
      <c r="D14" t="s">
        <v>126</v>
      </c>
    </row>
    <row r="15" spans="1:4" x14ac:dyDescent="0.45">
      <c r="A15" t="s">
        <v>19</v>
      </c>
      <c r="B15" t="s">
        <v>17</v>
      </c>
      <c r="C15" t="s">
        <v>18</v>
      </c>
      <c r="D15" t="s">
        <v>127</v>
      </c>
    </row>
    <row r="16" spans="1:4" x14ac:dyDescent="0.45">
      <c r="A16" t="inlineStr">
        <is>
          <t xml:space="preserve">PMXB43UNE</t>
        </is>
      </c>
      <c r="B16" t="inlineStr">
        <is>
          <t xml:space="preserve">Q4,Q5,Q6,Q7</t>
        </is>
      </c>
      <c r="C16" t="inlineStr">
        <is>
          <t xml:space="preserve">Nexperia_DFN1010D-3_SOT1215</t>
        </is>
      </c>
      <c r="D16" t="inlineStr">
        <is>
          <t xml:space="preserve">C547273</t>
        </is>
      </c>
    </row>
    <row r="17" spans="1:4" x14ac:dyDescent="0.45">
      <c r="A17" t="s">
        <v>87</v>
      </c>
      <c r="B17" t="s">
        <v>86</v>
      </c>
      <c r="C17" t="s">
        <v>7</v>
      </c>
      <c r="D17" t="s">
        <v>128</v>
      </c>
    </row>
    <row r="18" spans="1:4" x14ac:dyDescent="0.45">
      <c r="A18" t="s">
        <v>175</v>
      </c>
      <c r="B18" t="s">
        <v>75</v>
      </c>
      <c r="C18" t="s">
        <v>7</v>
      </c>
      <c r="D18" t="inlineStr">
        <is>
          <t xml:space="preserve">C25207446</t>
        </is>
      </c>
    </row>
    <row r="19" spans="1:4" x14ac:dyDescent="0.45">
      <c r="A19">
        <v>33</v>
      </c>
      <c r="B19" t="s">
        <v>49</v>
      </c>
      <c r="C19" t="s">
        <v>7</v>
      </c>
      <c r="D19" t="s">
        <v>129</v>
      </c>
    </row>
    <row r="20" spans="1:4" x14ac:dyDescent="0.45">
      <c r="A20" t="s">
        <v>12</v>
      </c>
      <c r="B20" t="s">
        <v>183</v>
      </c>
      <c r="C20" t="s">
        <v>7</v>
      </c>
      <c r="D20" t="s">
        <v>131</v>
      </c>
    </row>
    <row r="21" spans="1:4" x14ac:dyDescent="0.45">
      <c r="A21" t="s">
        <v>21</v>
      </c>
      <c r="B21" t="inlineStr">
        <is>
          <t xml:space="preserve">R3,R17,R30</t>
        </is>
      </c>
      <c r="C21" t="s">
        <v>7</v>
      </c>
      <c r="D21" t="s">
        <v>132</v>
      </c>
    </row>
    <row r="22" spans="1:4" x14ac:dyDescent="0.45">
      <c r="A22" t="s">
        <v>97</v>
      </c>
      <c r="B22" t="s">
        <v>96</v>
      </c>
      <c r="C22" t="s">
        <v>7</v>
      </c>
      <c r="D22" t="s">
        <v>133</v>
      </c>
    </row>
    <row r="23" spans="1:4" x14ac:dyDescent="0.45">
      <c r="A23" t="s">
        <v>23</v>
      </c>
      <c r="B23" t="s">
        <v>185</v>
      </c>
      <c r="C23" t="s">
        <v>7</v>
      </c>
      <c r="D23" t="s">
        <v>134</v>
      </c>
    </row>
    <row r="24" spans="1:4" x14ac:dyDescent="0.45">
      <c r="A24" t="s">
        <v>8</v>
      </c>
      <c r="B24" t="s">
        <v>186</v>
      </c>
      <c r="C24" t="s">
        <v>7</v>
      </c>
      <c r="D24" t="s">
        <v>135</v>
      </c>
    </row>
    <row r="25" spans="1:4" x14ac:dyDescent="0.45">
      <c r="A25" t="s">
        <v>20</v>
      </c>
      <c r="B25" t="s">
        <v>187</v>
      </c>
      <c r="C25" t="s">
        <v>7</v>
      </c>
      <c r="D25" t="s">
        <v>136</v>
      </c>
    </row>
    <row r="26" spans="1:4" x14ac:dyDescent="0.45">
      <c r="A26" t="s">
        <v>161</v>
      </c>
      <c r="B26" t="s">
        <v>160</v>
      </c>
      <c r="C26" t="s">
        <v>7</v>
      </c>
      <c r="D26" t="s">
        <v>162</v>
      </c>
    </row>
    <row r="27" spans="1:4" x14ac:dyDescent="0.45">
      <c r="A27" t="s">
        <v>11</v>
      </c>
      <c r="B27" t="inlineStr">
        <is>
          <t xml:space="preserve">R4,R16,R19,R35,R43,R45,R46,R47,R48</t>
        </is>
      </c>
      <c r="C27" t="s">
        <v>7</v>
      </c>
      <c r="D27" t="s">
        <v>130</v>
      </c>
    </row>
    <row r="28" spans="1:4" x14ac:dyDescent="0.45">
      <c r="A28" t="s">
        <v>29</v>
      </c>
      <c r="B28" t="s">
        <v>28</v>
      </c>
      <c r="C28" t="s">
        <v>7</v>
      </c>
      <c r="D28" t="s">
        <v>137</v>
      </c>
    </row>
    <row r="29" spans="1:4" x14ac:dyDescent="0.45">
      <c r="A29">
        <v>220</v>
      </c>
      <c r="B29" t="s">
        <v>38</v>
      </c>
      <c r="C29" t="s">
        <v>7</v>
      </c>
      <c r="D29" t="s">
        <v>138</v>
      </c>
    </row>
    <row r="30" spans="1:4" x14ac:dyDescent="0.45">
      <c r="A30">
        <v>374</v>
      </c>
      <c r="B30" t="s">
        <v>56</v>
      </c>
      <c r="C30" t="s">
        <v>7</v>
      </c>
      <c r="D30" t="s">
        <v>139</v>
      </c>
    </row>
    <row r="31" spans="1:4" x14ac:dyDescent="0.45">
      <c r="A31" t="s">
        <v>99</v>
      </c>
      <c r="B31" t="s">
        <v>98</v>
      </c>
      <c r="C31" t="s">
        <v>7</v>
      </c>
      <c r="D31" t="s">
        <v>140</v>
      </c>
    </row>
    <row r="32" spans="1:4" x14ac:dyDescent="0.45">
      <c r="A32" t="s">
        <v>176</v>
      </c>
      <c r="B32" t="s">
        <v>77</v>
      </c>
      <c r="C32" t="s">
        <v>7</v>
      </c>
      <c r="D32" t="s">
        <v>173</v>
      </c>
    </row>
    <row r="33" spans="1:4" x14ac:dyDescent="0.45">
      <c r="A33" t="s">
        <v>164</v>
      </c>
      <c r="B33" t="inlineStr">
        <is>
          <t xml:space="preserve">R20,R29,R42,R44,R49,R50,R51,R52</t>
        </is>
      </c>
      <c r="C33" t="s">
        <v>7</v>
      </c>
      <c r="D33" t="s">
        <v>141</v>
      </c>
    </row>
    <row r="34" spans="1:4" x14ac:dyDescent="0.45">
      <c r="A34" t="inlineStr">
        <is>
          <t xml:space="preserve">1K</t>
        </is>
      </c>
      <c r="B34" t="inlineStr">
        <is>
          <t xml:space="preserve">R53,R54,R55,R56</t>
        </is>
      </c>
      <c r="C34" t="inlineStr">
        <is>
          <t xml:space="preserve">R_0402_1005Metric</t>
        </is>
      </c>
      <c r="D34" t="inlineStr">
        <is>
          <t xml:space="preserve">C11702</t>
        </is>
      </c>
    </row>
    <row r="35" spans="1:4" x14ac:dyDescent="0.45">
      <c r="A35" t="s">
        <v>14</v>
      </c>
      <c r="B35" t="s">
        <v>190</v>
      </c>
      <c r="C35" t="s">
        <v>13</v>
      </c>
      <c r="D35" t="s">
        <v>142</v>
      </c>
    </row>
    <row r="36" spans="1:4" x14ac:dyDescent="0.45">
      <c r="A36" t="s">
        <v>95</v>
      </c>
      <c r="B36" t="s">
        <v>93</v>
      </c>
      <c r="C36" t="s">
        <v>94</v>
      </c>
      <c r="D36" t="s">
        <v>143</v>
      </c>
    </row>
    <row r="37" spans="1:4" x14ac:dyDescent="0.45">
      <c r="A37" t="s">
        <v>156</v>
      </c>
      <c r="B37" t="s">
        <v>100</v>
      </c>
      <c r="C37" t="inlineStr">
        <is>
          <t xml:space="preserve">WQFN 14 3.00 mm × 2.50 mm</t>
        </is>
      </c>
      <c r="D37" t="s">
        <v>155</v>
      </c>
    </row>
    <row r="38" spans="1:4" x14ac:dyDescent="0.45">
      <c r="A38" t="s">
        <v>80</v>
      </c>
      <c r="B38" t="s">
        <v>78</v>
      </c>
      <c r="C38" t="s">
        <v>79</v>
      </c>
      <c r="D38" t="s">
        <v>144</v>
      </c>
    </row>
    <row r="39" spans="1:4" x14ac:dyDescent="0.45">
      <c r="A39" t="s">
        <v>6</v>
      </c>
      <c r="B39" t="s">
        <v>4</v>
      </c>
      <c r="C39" t="s">
        <v>5</v>
      </c>
      <c r="D39" t="s">
        <v>145</v>
      </c>
    </row>
    <row r="40" spans="1:4" x14ac:dyDescent="0.45">
      <c r="A40" t="s">
        <v>59</v>
      </c>
      <c r="B40" t="s">
        <v>57</v>
      </c>
      <c r="C40" t="s">
        <v>58</v>
      </c>
      <c r="D40" t="s">
        <v>146</v>
      </c>
    </row>
    <row r="41" spans="1:4" x14ac:dyDescent="0.45">
      <c r="A41" t="s">
        <v>92</v>
      </c>
      <c r="B41" t="s">
        <v>90</v>
      </c>
      <c r="C41" t="s">
        <v>91</v>
      </c>
      <c r="D41" t="s">
        <v>147</v>
      </c>
    </row>
    <row r="42" spans="1:4" x14ac:dyDescent="0.45">
      <c r="A42" t="s">
        <v>82</v>
      </c>
      <c r="B42" t="s">
        <v>81</v>
      </c>
      <c r="C42" t="s">
        <v>82</v>
      </c>
      <c r="D42" t="s">
        <v>148</v>
      </c>
    </row>
    <row r="43" spans="1:4" x14ac:dyDescent="0.45">
      <c r="A43" t="s">
        <v>48</v>
      </c>
      <c r="B43" t="s">
        <v>46</v>
      </c>
      <c r="C43" t="s">
        <v>47</v>
      </c>
      <c r="D43" t="s">
        <v>149</v>
      </c>
    </row>
    <row r="44" spans="1:4" x14ac:dyDescent="0.45">
      <c r="A44" t="s">
        <v>71</v>
      </c>
      <c r="B44" t="s">
        <v>69</v>
      </c>
      <c r="C44" t="s">
        <v>70</v>
      </c>
      <c r="D44" t="s">
        <v>150</v>
      </c>
    </row>
    <row r="45" spans="1:4" x14ac:dyDescent="0.45">
      <c r="A45" t="s">
        <v>85</v>
      </c>
      <c r="B45" t="s">
        <v>83</v>
      </c>
      <c r="C45" t="s">
        <v>84</v>
      </c>
      <c r="D45" t="s">
        <v>152</v>
      </c>
    </row>
    <row r="46" spans="1:4" x14ac:dyDescent="0.45">
      <c r="A46" t="s">
        <v>62</v>
      </c>
      <c r="B46" t="s">
        <v>60</v>
      </c>
      <c r="C46" t="s">
        <v>61</v>
      </c>
      <c r="D46" t="s">
        <v>151</v>
      </c>
    </row>
    <row r="47" spans="1:4" x14ac:dyDescent="0.45">
      <c r="A47" t="s">
        <v>74</v>
      </c>
      <c r="B47" t="s">
        <v>72</v>
      </c>
      <c r="C47" t="s">
        <v>73</v>
      </c>
      <c r="D47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4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inlineStr">
        <is>
          <t>Extended</t>
        </is>
      </c>
      <c r="H2">
        <v>0.022</v>
      </c>
      <c r="I2" s="3">
        <f>RocketLocator[[#This Row],[Quantity]]*RocketLocator[[#This Row],[Unit Cost]]</f>
        <v>0.066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inlineStr">
        <is>
          <t>Basic</t>
        </is>
      </c>
      <c r="H3">
        <v>0.0041</v>
      </c>
      <c r="I3" s="3">
        <f>RocketLocator[[#This Row],[Quantity]]*RocketLocator[[#This Row],[Unit Cost]]</f>
        <v>0.0041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1</v>
      </c>
      <c r="E4" t="s">
        <v>65</v>
      </c>
      <c r="F4" t="s">
        <v>116</v>
      </c>
      <c r="G4" t="inlineStr">
        <is>
          <t>Basic</t>
        </is>
      </c>
      <c r="H4">
        <v>0.0257</v>
      </c>
      <c r="I4" s="3">
        <f>RocketLocator[[#This Row],[Quantity]]*RocketLocator[[#This Row],[Unit Cost]]</f>
        <v>0.0257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9</v>
      </c>
      <c r="E5" t="s">
        <v>16</v>
      </c>
      <c r="F5" t="s">
        <v>119</v>
      </c>
      <c r="G5" t="inlineStr">
        <is>
          <t>Basic</t>
        </is>
      </c>
      <c r="H5">
        <v>0.0075</v>
      </c>
      <c r="I5" s="3">
        <f>RocketLocator[[#This Row],[Quantity]]*RocketLocator[[#This Row],[Unit Cost]]</f>
        <v>0.0675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s">
        <v>192</v>
      </c>
      <c r="C6" t="s">
        <v>15</v>
      </c>
      <c r="D6">
        <v>7</v>
      </c>
      <c r="E6" t="s">
        <v>27</v>
      </c>
      <c r="F6" t="s">
        <v>120</v>
      </c>
      <c r="G6" t="inlineStr">
        <is>
          <t>Basic</t>
        </is>
      </c>
      <c r="H6">
        <v>0.0055</v>
      </c>
      <c r="I6" s="3">
        <f>RocketLocator[[#This Row],[Quantity]]*RocketLocator[[#This Row],[Unit Cost]]</f>
        <v>0.0385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220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170</v>
      </c>
      <c r="C7" t="s">
        <v>172</v>
      </c>
      <c r="D7">
        <v>1</v>
      </c>
      <c r="E7" t="s">
        <v>27</v>
      </c>
      <c r="F7" t="s">
        <v>171</v>
      </c>
      <c r="G7" t="inlineStr">
        <is>
          <t>Extended</t>
        </is>
      </c>
      <c r="H7">
        <v>0.5363</v>
      </c>
      <c r="I7" s="3">
        <f>RocketLocator[[#This Row],[Quantity]]*RocketLocator[[#This Row],[Unit Cost]]</f>
        <v>0.5363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7">
        <f>IF(RocketLocator[[#This Row],[Quantity Needed]]&gt;RocketLocator[[#This Row],[Quantity on Hand]],RocketLocator[[#This Row],[Quantity Needed]]-RocketLocator[[#This Row],[Quantity on Hand]],"")</f>
        <v>30</v>
      </c>
      <c r="Q7" t="inlineStr">
        <is>
          <t xml:space="preserve">C0G; JLCPCB stock 0 &lt; gap 30 (2026-10-21)</t>
        </is>
      </c>
    </row>
    <row r="8" spans="1:17" x14ac:dyDescent="0.45">
      <c r="A8">
        <v>7</v>
      </c>
      <c r="B8" t="s">
        <v>167</v>
      </c>
      <c r="C8" t="s">
        <v>172</v>
      </c>
      <c r="D8">
        <v>1</v>
      </c>
      <c r="E8" t="s">
        <v>159</v>
      </c>
      <c r="F8" t="s">
        <v>178</v>
      </c>
      <c r="G8" t="inlineStr">
        <is>
          <t>Basic</t>
        </is>
      </c>
      <c r="H8">
        <v>0.168</v>
      </c>
      <c r="I8" s="3">
        <f>RocketLocator[[#This Row],[Quantity]]*RocketLocator[[#This Row],[Unit Cost]]</f>
        <v>0.168</v>
      </c>
      <c r="J8">
        <v>150</v>
      </c>
      <c r="K8">
        <v>4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inlineStr">
        <is>
          <t xml:space="preserve">X5R; JLCPCB now lists as Basic (was Extended)</t>
        </is>
      </c>
    </row>
    <row r="9" spans="1:17" x14ac:dyDescent="0.45">
      <c r="A9">
        <v>8</v>
      </c>
      <c r="B9" t="s">
        <v>158</v>
      </c>
      <c r="C9" t="s">
        <v>15</v>
      </c>
      <c r="D9">
        <v>1</v>
      </c>
      <c r="E9" t="s">
        <v>166</v>
      </c>
      <c r="F9" t="s">
        <v>177</v>
      </c>
      <c r="G9" t="inlineStr">
        <is>
          <t>Extended</t>
        </is>
      </c>
      <c r="H9">
        <v>0.0157</v>
      </c>
      <c r="I9" s="3">
        <f>RocketLocator[[#This Row],[Quantity]]*RocketLocator[[#This Row],[Unit Cost]]</f>
        <v>0.0157</v>
      </c>
      <c r="J9">
        <v>500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9" t="str">
        <f>IF(RocketLocator[[#This Row],[Quantity Needed]]&gt;RocketLocator[[#This Row],[Quantity on Hand]],RocketLocator[[#This Row],[Quantity Needed]]-RocketLocator[[#This Row],[Quantity on Hand]],"")</f>
        <v/>
      </c>
      <c r="Q9" t="s">
        <v>168</v>
      </c>
    </row>
    <row r="10" spans="1:13" x14ac:dyDescent="0.45">
      <c r="A10">
        <v>9</v>
      </c>
      <c r="B10" t="s">
        <v>66</v>
      </c>
      <c r="C10" t="s">
        <v>67</v>
      </c>
      <c r="D10">
        <v>1</v>
      </c>
      <c r="E10" t="s">
        <v>68</v>
      </c>
      <c r="F10" t="s">
        <v>121</v>
      </c>
      <c r="G10" t="inlineStr">
        <is>
          <t>Extended</t>
        </is>
      </c>
      <c r="H10">
        <v>0.013</v>
      </c>
      <c r="I10" s="3">
        <f>RocketLocator[[#This Row],[Quantity]]*RocketLocator[[#This Row],[Unit Cost]]</f>
        <v>0.013</v>
      </c>
      <c r="J10">
        <v>400</v>
      </c>
      <c r="K10">
        <v>10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10" t="str">
        <f>IF(RocketLocator[[#This Row],[Quantity Needed]]&gt;RocketLocator[[#This Row],[Quantity on Hand]],RocketLocator[[#This Row],[Quantity Needed]]-RocketLocator[[#This Row],[Quantity on Hand]],"")</f>
        <v/>
      </c>
    </row>
    <row r="11" spans="1:17" x14ac:dyDescent="0.45">
      <c r="A11">
        <v>10</v>
      </c>
      <c r="B11" t="s">
        <v>33</v>
      </c>
      <c r="C11" t="s">
        <v>34</v>
      </c>
      <c r="D11">
        <v>2</v>
      </c>
      <c r="E11" t="s">
        <v>34</v>
      </c>
      <c r="F11" t="s">
        <v>122</v>
      </c>
      <c r="G11" t="inlineStr">
        <is>
          <t>Extended</t>
        </is>
      </c>
      <c r="H11">
        <v>0.0158</v>
      </c>
      <c r="I11" s="3">
        <f>RocketLocator[[#This Row],[Quantity]]*RocketLocator[[#This Row],[Unit Cost]]</f>
        <v>0.0316</v>
      </c>
      <c r="J11">
        <v>72</v>
      </c>
      <c r="K11">
        <v>4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1" t="str">
        <f>IF(RocketLocator[[#This Row],[Quantity Needed]]&gt;RocketLocator[[#This Row],[Quantity on Hand]],RocketLocator[[#This Row],[Quantity Needed]]-RocketLocator[[#This Row],[Quantity on Hand]],"")</f>
        <v/>
      </c>
      <c r="Q11" t="inlineStr">
        <is>
          <t xml:space="preserve">JLCPCB part is XL-Z1921RGBA-SG; KiCad value/footprint say XL-Z1912RGBA-SG</t>
        </is>
      </c>
    </row>
    <row r="12" spans="1:13" x14ac:dyDescent="0.45">
      <c r="A12">
        <v>11</v>
      </c>
      <c r="B12" t="s">
        <v>181</v>
      </c>
      <c r="C12" t="s">
        <v>42</v>
      </c>
      <c r="D12">
        <v>4</v>
      </c>
      <c r="E12" t="s">
        <v>43</v>
      </c>
      <c r="F12" t="s">
        <v>123</v>
      </c>
      <c r="I12" s="3">
        <f>RocketLocator[[#This Row],[Quantity]]*RocketLocator[[#This Row],[Unit Cost]]</f>
        <v>0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35</v>
      </c>
      <c r="C13" t="s">
        <v>36</v>
      </c>
      <c r="D13">
        <v>1</v>
      </c>
      <c r="E13" t="s">
        <v>37</v>
      </c>
      <c r="F13" t="s">
        <v>124</v>
      </c>
      <c r="G13" t="inlineStr">
        <is>
          <t>Extended</t>
        </is>
      </c>
      <c r="H13">
        <v>0.0635</v>
      </c>
      <c r="I13" s="3">
        <f>RocketLocator[[#This Row],[Quantity]]*RocketLocator[[#This Row],[Unit Cost]]</f>
        <v>0.0635</v>
      </c>
      <c r="J13">
        <v>257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44</v>
      </c>
      <c r="C14" t="s">
        <v>31</v>
      </c>
      <c r="D14">
        <v>1</v>
      </c>
      <c r="E14" t="s">
        <v>45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30</v>
      </c>
      <c r="C15" t="s">
        <v>31</v>
      </c>
      <c r="D15">
        <v>1</v>
      </c>
      <c r="E15" t="s">
        <v>32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50</v>
      </c>
      <c r="C16" t="s">
        <v>51</v>
      </c>
      <c r="D16">
        <v>1</v>
      </c>
      <c r="E16" t="s">
        <v>52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63</v>
      </c>
      <c r="C17" t="s">
        <v>31</v>
      </c>
      <c r="D17">
        <v>1</v>
      </c>
      <c r="E17" t="s">
        <v>64</v>
      </c>
      <c r="F17" t="s">
        <v>123</v>
      </c>
      <c r="I17" s="3">
        <f>RocketLocator[[#This Row],[Quantity]]*RocketLocator[[#This Row],[Unit Cost]]</f>
        <v>0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39</v>
      </c>
      <c r="C18" t="inlineStr">
        <is>
          <t xml:space="preserve">HRS_U.FL-R-SMT(01)</t>
        </is>
      </c>
      <c r="D18">
        <v>1</v>
      </c>
      <c r="E18" t="s">
        <v>41</v>
      </c>
      <c r="F18" t="s">
        <v>125</v>
      </c>
      <c r="G18" t="inlineStr">
        <is>
          <t>Extended</t>
        </is>
      </c>
      <c r="H18">
        <v>0.0417</v>
      </c>
      <c r="I18" s="3">
        <f>RocketLocator[[#This Row],[Quantity]]*RocketLocator[[#This Row],[Unit Cost]]</f>
        <v>0.0417</v>
      </c>
      <c r="J18">
        <v>279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24</v>
      </c>
      <c r="C19" t="s">
        <v>25</v>
      </c>
      <c r="D19">
        <v>1</v>
      </c>
      <c r="E19" t="s">
        <v>26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53</v>
      </c>
      <c r="C20" t="s">
        <v>54</v>
      </c>
      <c r="D20">
        <v>1</v>
      </c>
      <c r="E20" t="s">
        <v>55</v>
      </c>
      <c r="F20" t="s">
        <v>123</v>
      </c>
      <c r="I20" s="3">
        <f>RocketLocator[[#This Row],[Quantity]]*RocketLocator[[#This Row],[Unit Cost]]</f>
        <v>0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163</v>
      </c>
      <c r="C21" t="s">
        <v>18</v>
      </c>
      <c r="D21">
        <v>1</v>
      </c>
      <c r="E21" t="s">
        <v>22</v>
      </c>
      <c r="F21" t="s">
        <v>126</v>
      </c>
      <c r="G21" t="inlineStr">
        <is>
          <t>Extended</t>
        </is>
      </c>
      <c r="H21">
        <v>0.0218</v>
      </c>
      <c r="I21" s="3">
        <f>RocketLocator[[#This Row],[Quantity]]*RocketLocator[[#This Row],[Unit Cost]]</f>
        <v>0.0218</v>
      </c>
      <c r="J21">
        <v>75</v>
      </c>
      <c r="K21">
        <v>5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3" x14ac:dyDescent="0.45">
      <c r="A22">
        <v>21</v>
      </c>
      <c r="B22" t="s">
        <v>17</v>
      </c>
      <c r="C22" t="s">
        <v>18</v>
      </c>
      <c r="D22">
        <v>1</v>
      </c>
      <c r="E22" t="s">
        <v>19</v>
      </c>
      <c r="F22" t="s">
        <v>127</v>
      </c>
      <c r="G22" t="inlineStr">
        <is>
          <t>Extended</t>
        </is>
      </c>
      <c r="H22">
        <v>0.0403</v>
      </c>
      <c r="I22" s="3">
        <f>RocketLocator[[#This Row],[Quantity]]*RocketLocator[[#This Row],[Unit Cost]]</f>
        <v>0.0403</v>
      </c>
      <c r="J22">
        <v>42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2" t="str">
        <f>IF(RocketLocator[[#This Row],[Quantity Needed]]&gt;RocketLocator[[#This Row],[Quantity on Hand]],RocketLocator[[#This Row],[Quantity Needed]]-RocketLocator[[#This Row],[Quantity on Hand]],"")</f>
        <v/>
      </c>
    </row>
    <row r="23" spans="1:17" x14ac:dyDescent="0.45">
      <c r="A23">
        <v>22</v>
      </c>
      <c r="B23" t="inlineStr">
        <is>
          <t xml:space="preserve">Q4,Q5,Q6,Q7</t>
        </is>
      </c>
      <c r="C23" t="inlineStr">
        <is>
          <t xml:space="preserve">Nexperia_DFN1010D-3_SOT1215</t>
        </is>
      </c>
      <c r="D23">
        <v>4</v>
      </c>
      <c r="E23" t="inlineStr">
        <is>
          <t xml:space="preserve">PMXB43UNE</t>
        </is>
      </c>
      <c r="F23" t="inlineStr">
        <is>
          <t xml:space="preserve">C547273</t>
        </is>
      </c>
      <c r="G23" t="inlineStr">
        <is>
          <t>Extended</t>
        </is>
      </c>
      <c r="H23">
        <v>0.5428</v>
      </c>
      <c r="I23" s="3">
        <f>RocketLocator[[#This Row],[Quantity]]*RocketLocator[[#This Row],[Unit Cost]]</f>
        <v>2.1712</v>
      </c>
      <c r="K23">
        <v>4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3">
        <f>IF(RocketLocator[[#This Row],[Quantity Needed]]&gt;RocketLocator[[#This Row],[Quantity on Hand]],RocketLocator[[#This Row],[Quantity Needed]]-RocketLocator[[#This Row],[Quantity on Hand]],"")</f>
        <v>124</v>
      </c>
      <c r="Q23" t="inlineStr">
        <is>
          <t xml:space="preserve">New: deploy low-side FETs (Topology A); PMXB43UNEZ, unit cost is LCSC 100+ price (Oct 2026)</t>
        </is>
      </c>
    </row>
    <row r="24" spans="1:13" x14ac:dyDescent="0.45">
      <c r="A24">
        <v>23</v>
      </c>
      <c r="B24" t="s">
        <v>86</v>
      </c>
      <c r="C24" t="s">
        <v>7</v>
      </c>
      <c r="D24">
        <v>2</v>
      </c>
      <c r="E24" t="s">
        <v>87</v>
      </c>
      <c r="F24" t="s">
        <v>128</v>
      </c>
      <c r="G24" t="inlineStr">
        <is>
          <t>Extended</t>
        </is>
      </c>
      <c r="H24">
        <v>0.0014</v>
      </c>
      <c r="I24" s="3">
        <f>RocketLocator[[#This Row],[Quantity]]*RocketLocator[[#This Row],[Unit Cost]]</f>
        <v>0.0028</v>
      </c>
      <c r="J24">
        <v>2930</v>
      </c>
      <c r="K24">
        <v>10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3" x14ac:dyDescent="0.45">
      <c r="A25">
        <v>24</v>
      </c>
      <c r="B25" t="s">
        <v>75</v>
      </c>
      <c r="C25" t="s">
        <v>7</v>
      </c>
      <c r="D25">
        <v>1</v>
      </c>
      <c r="E25" t="s">
        <v>175</v>
      </c>
      <c r="F25" t="inlineStr">
        <is>
          <t xml:space="preserve">C25207446</t>
        </is>
      </c>
      <c r="G25" t="inlineStr">
        <is>
          <t>Extended</t>
        </is>
      </c>
      <c r="H25">
        <v>0.0203</v>
      </c>
      <c r="I25" s="3">
        <f>RocketLocator[[#This Row],[Quantity]]*RocketLocator[[#This Row],[Unit Cost]]</f>
        <v>0.0203</v>
      </c>
      <c r="J25">
        <v>100</v>
      </c>
      <c r="K25">
        <v>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5" t="str">
        <f>IF(RocketLocator[[#This Row],[Quantity Needed]]&gt;RocketLocator[[#This Row],[Quantity on Hand]],RocketLocator[[#This Row],[Quantity Needed]]-RocketLocator[[#This Row],[Quantity on Hand]],"")</f>
        <v/>
      </c>
    </row>
    <row r="26" spans="1:17" x14ac:dyDescent="0.45">
      <c r="A26">
        <v>25</v>
      </c>
      <c r="B26" t="s">
        <v>49</v>
      </c>
      <c r="C26" t="s">
        <v>7</v>
      </c>
      <c r="D26">
        <v>1</v>
      </c>
      <c r="E26">
        <v>33</v>
      </c>
      <c r="F26" t="s">
        <v>129</v>
      </c>
      <c r="G26" t="inlineStr">
        <is>
          <t>Basic</t>
        </is>
      </c>
      <c r="H26">
        <v>0.0011</v>
      </c>
      <c r="I26" s="3">
        <f>RocketLocator[[#This Row],[Quantity]]*RocketLocator[[#This Row],[Unit Cost]]</f>
        <v>0.0011</v>
      </c>
      <c r="J26">
        <v>80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6" t="str">
        <f>IF(RocketLocator[[#This Row],[Quantity Needed]]&gt;RocketLocator[[#This Row],[Quantity on Hand]],RocketLocator[[#This Row],[Quantity Needed]]-RocketLocator[[#This Row],[Quantity on Hand]],"")</f>
        <v/>
      </c>
      <c r="Q26" t="inlineStr">
        <is>
          <t xml:space="preserve">Schematic value 35</t>
        </is>
      </c>
    </row>
    <row r="27" spans="1:13" x14ac:dyDescent="0.45">
      <c r="A27">
        <v>26</v>
      </c>
      <c r="B27" t="s">
        <v>183</v>
      </c>
      <c r="C27" t="s">
        <v>7</v>
      </c>
      <c r="D27">
        <v>5</v>
      </c>
      <c r="E27" t="s">
        <v>12</v>
      </c>
      <c r="F27" t="s">
        <v>131</v>
      </c>
      <c r="G27" t="inlineStr">
        <is>
          <t>Extended</t>
        </is>
      </c>
      <c r="H27">
        <v>0.0019</v>
      </c>
      <c r="I27" s="3">
        <f>RocketLocator[[#This Row],[Quantity]]*RocketLocator[[#This Row],[Unit Cost]]</f>
        <v>0.0095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7">
        <f>IF(RocketLocator[[#This Row],[Quantity Needed]]&gt;RocketLocator[[#This Row],[Quantity on Hand]],RocketLocator[[#This Row],[Quantity Needed]]-RocketLocator[[#This Row],[Quantity on Hand]],"")</f>
        <v>10</v>
      </c>
    </row>
    <row r="28" spans="1:13" x14ac:dyDescent="0.45">
      <c r="A28">
        <v>27</v>
      </c>
      <c r="B28" t="inlineStr">
        <is>
          <t xml:space="preserve">R3,R17,R30</t>
        </is>
      </c>
      <c r="C28" t="s">
        <v>7</v>
      </c>
      <c r="D28">
        <v>3</v>
      </c>
      <c r="E28" t="s">
        <v>21</v>
      </c>
      <c r="F28" t="s">
        <v>132</v>
      </c>
      <c r="G28" t="inlineStr">
        <is>
          <t>Basic</t>
        </is>
      </c>
      <c r="H28">
        <v>0.0015</v>
      </c>
      <c r="I28" s="3">
        <f>RocketLocator[[#This Row],[Quantity]]*RocketLocator[[#This Row],[Unit Cost]]</f>
        <v>0.0045</v>
      </c>
      <c r="J28">
        <v>150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96</v>
      </c>
      <c r="C29" t="s">
        <v>7</v>
      </c>
      <c r="D29">
        <v>1</v>
      </c>
      <c r="E29" t="s">
        <v>97</v>
      </c>
      <c r="F29" t="s">
        <v>133</v>
      </c>
      <c r="G29" t="inlineStr">
        <is>
          <t>Basic</t>
        </is>
      </c>
      <c r="H29">
        <v>0.0012</v>
      </c>
      <c r="I29" s="3">
        <f>RocketLocator[[#This Row],[Quantity]]*RocketLocator[[#This Row],[Unit Cost]]</f>
        <v>0.0012</v>
      </c>
      <c r="J29">
        <v>74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185</v>
      </c>
      <c r="C30" t="s">
        <v>7</v>
      </c>
      <c r="D30">
        <v>2</v>
      </c>
      <c r="E30" t="s">
        <v>23</v>
      </c>
      <c r="F30" t="s">
        <v>134</v>
      </c>
      <c r="G30" t="inlineStr">
        <is>
          <t>Basic</t>
        </is>
      </c>
      <c r="H30">
        <v>0.0034</v>
      </c>
      <c r="I30" s="3">
        <f>RocketLocator[[#This Row],[Quantity]]*RocketLocator[[#This Row],[Unit Cost]]</f>
        <v>0.0068</v>
      </c>
      <c r="J30">
        <v>890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186</v>
      </c>
      <c r="C31" t="s">
        <v>7</v>
      </c>
      <c r="D31">
        <v>4</v>
      </c>
      <c r="E31" t="s">
        <v>8</v>
      </c>
      <c r="F31" t="s">
        <v>135</v>
      </c>
      <c r="G31" t="inlineStr">
        <is>
          <t>Basic</t>
        </is>
      </c>
      <c r="H31">
        <v>0.002</v>
      </c>
      <c r="I31" s="3">
        <f>RocketLocator[[#This Row],[Quantity]]*RocketLocator[[#This Row],[Unit Cost]]</f>
        <v>0.008</v>
      </c>
      <c r="J31">
        <v>150</v>
      </c>
      <c r="K31">
        <v>10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187</v>
      </c>
      <c r="C32" t="s">
        <v>7</v>
      </c>
      <c r="D32">
        <v>7</v>
      </c>
      <c r="E32" t="s">
        <v>20</v>
      </c>
      <c r="F32" t="s">
        <v>136</v>
      </c>
      <c r="G32" t="inlineStr">
        <is>
          <t>Extended</t>
        </is>
      </c>
      <c r="H32">
        <v>0.0026</v>
      </c>
      <c r="I32" s="3">
        <f>RocketLocator[[#This Row],[Quantity]]*RocketLocator[[#This Row],[Unit Cost]]</f>
        <v>0.0182</v>
      </c>
      <c r="J32">
        <v>9705</v>
      </c>
      <c r="K32">
        <v>12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3" x14ac:dyDescent="0.45">
      <c r="A33">
        <v>32</v>
      </c>
      <c r="B33" t="s">
        <v>160</v>
      </c>
      <c r="C33" t="s">
        <v>7</v>
      </c>
      <c r="D33">
        <v>2</v>
      </c>
      <c r="E33" t="s">
        <v>161</v>
      </c>
      <c r="F33" t="s">
        <v>162</v>
      </c>
      <c r="G33" t="inlineStr">
        <is>
          <t>Basic</t>
        </is>
      </c>
      <c r="H33">
        <v>0.0021</v>
      </c>
      <c r="I33" s="3">
        <f>RocketLocator[[#This Row],[Quantity]]*RocketLocator[[#This Row],[Unit Cost]]</f>
        <v>0.0042</v>
      </c>
      <c r="J33">
        <v>970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3" t="str">
        <f>IF(RocketLocator[[#This Row],[Quantity Needed]]&gt;RocketLocator[[#This Row],[Quantity on Hand]],RocketLocator[[#This Row],[Quantity Needed]]-RocketLocator[[#This Row],[Quantity on Hand]],"")</f>
        <v/>
      </c>
    </row>
    <row r="34" spans="1:17" x14ac:dyDescent="0.45">
      <c r="A34">
        <v>33</v>
      </c>
      <c r="B34" t="inlineStr">
        <is>
          <t xml:space="preserve">R4,R16,R19,R35,R43,R45,R46,R47,R48</t>
        </is>
      </c>
      <c r="C34" t="s">
        <v>7</v>
      </c>
      <c r="D34">
        <v>9</v>
      </c>
      <c r="E34" t="s">
        <v>11</v>
      </c>
      <c r="F34" t="s">
        <v>130</v>
      </c>
      <c r="G34" t="inlineStr">
        <is>
          <t>Basic</t>
        </is>
      </c>
      <c r="H34">
        <v>0.0012</v>
      </c>
      <c r="I34" s="3">
        <f>RocketLocator[[#This Row],[Quantity]]*RocketLocator[[#This Row],[Unit Cost]]</f>
        <v>0.0108</v>
      </c>
      <c r="J34">
        <v>960</v>
      </c>
      <c r="K34">
        <v>10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4" t="str">
        <f>IF(RocketLocator[[#This Row],[Quantity Needed]]&gt;RocketLocator[[#This Row],[Quantity on Hand]],RocketLocator[[#This Row],[Quantity Needed]]-RocketLocator[[#This Row],[Quantity on Hand]],"")</f>
        <v/>
      </c>
      <c r="Q34" t="inlineStr">
        <is>
          <t xml:space="preserve">Schematic values R16=109, R19=98; R45-R48 are deploy FET gate resistors</t>
        </is>
      </c>
    </row>
    <row r="35" spans="1:13" x14ac:dyDescent="0.45">
      <c r="A35">
        <v>34</v>
      </c>
      <c r="B35" t="s">
        <v>28</v>
      </c>
      <c r="C35" t="s">
        <v>7</v>
      </c>
      <c r="D35">
        <v>3</v>
      </c>
      <c r="E35" t="s">
        <v>29</v>
      </c>
      <c r="F35" t="s">
        <v>137</v>
      </c>
      <c r="G35" t="inlineStr">
        <is>
          <t>Extended</t>
        </is>
      </c>
      <c r="H35">
        <v>0.0012</v>
      </c>
      <c r="I35" s="3">
        <f>RocketLocator[[#This Row],[Quantity]]*RocketLocator[[#This Row],[Unit Cost]]</f>
        <v>0.0036</v>
      </c>
      <c r="J35">
        <v>2940</v>
      </c>
      <c r="K35">
        <v>12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5" t="str">
        <f>IF(RocketLocator[[#This Row],[Quantity Needed]]&gt;RocketLocator[[#This Row],[Quantity on Hand]],RocketLocator[[#This Row],[Quantity Needed]]-RocketLocator[[#This Row],[Quantity on Hand]],"")</f>
        <v/>
      </c>
    </row>
    <row r="36" spans="1:17" x14ac:dyDescent="0.45">
      <c r="A36">
        <v>35</v>
      </c>
      <c r="B36" t="s">
        <v>38</v>
      </c>
      <c r="C36" t="s">
        <v>7</v>
      </c>
      <c r="D36">
        <v>1</v>
      </c>
      <c r="E36">
        <v>220</v>
      </c>
      <c r="F36" t="s">
        <v>138</v>
      </c>
      <c r="G36" t="inlineStr">
        <is>
          <t>Basic</t>
        </is>
      </c>
      <c r="H36">
        <v>0.0018</v>
      </c>
      <c r="I36" s="3">
        <f>RocketLocator[[#This Row],[Quantity]]*RocketLocator[[#This Row],[Unit Cost]]</f>
        <v>0.0018</v>
      </c>
      <c r="J36">
        <v>3030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218</t>
        </is>
      </c>
    </row>
    <row r="37" spans="1:17" x14ac:dyDescent="0.45">
      <c r="A37">
        <v>36</v>
      </c>
      <c r="B37" t="s">
        <v>56</v>
      </c>
      <c r="C37" t="s">
        <v>7</v>
      </c>
      <c r="D37">
        <v>1</v>
      </c>
      <c r="E37">
        <v>374</v>
      </c>
      <c r="F37" t="s">
        <v>139</v>
      </c>
      <c r="G37" t="inlineStr">
        <is>
          <t>Extended</t>
        </is>
      </c>
      <c r="H37">
        <v>0.0006</v>
      </c>
      <c r="I37" s="3">
        <f>RocketLocator[[#This Row],[Quantity]]*RocketLocator[[#This Row],[Unit Cost]]</f>
        <v>0.0006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  <c r="Q37" t="inlineStr">
        <is>
          <t xml:space="preserve">Schematic value 375</t>
        </is>
      </c>
    </row>
    <row r="38" spans="1:13" x14ac:dyDescent="0.45">
      <c r="A38">
        <v>37</v>
      </c>
      <c r="B38" t="s">
        <v>98</v>
      </c>
      <c r="C38" t="s">
        <v>7</v>
      </c>
      <c r="D38">
        <v>1</v>
      </c>
      <c r="E38" t="s">
        <v>99</v>
      </c>
      <c r="F38" t="s">
        <v>140</v>
      </c>
      <c r="G38" t="inlineStr">
        <is>
          <t>Extended</t>
        </is>
      </c>
      <c r="H38">
        <v>0.0023</v>
      </c>
      <c r="I38" s="3">
        <f>RocketLocator[[#This Row],[Quantity]]*RocketLocator[[#This Row],[Unit Cost]]</f>
        <v>0.0023</v>
      </c>
      <c r="J38">
        <v>60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3" x14ac:dyDescent="0.45">
      <c r="A39">
        <v>38</v>
      </c>
      <c r="B39" t="s">
        <v>77</v>
      </c>
      <c r="C39" t="s">
        <v>7</v>
      </c>
      <c r="D39">
        <v>1</v>
      </c>
      <c r="E39" t="s">
        <v>176</v>
      </c>
      <c r="F39" t="s">
        <v>173</v>
      </c>
      <c r="G39" t="inlineStr">
        <is>
          <t>Extended</t>
        </is>
      </c>
      <c r="H39">
        <v>0.0213</v>
      </c>
      <c r="I39" s="3">
        <f>RocketLocator[[#This Row],[Quantity]]*RocketLocator[[#This Row],[Unit Cost]]</f>
        <v>0.0213</v>
      </c>
      <c r="J39">
        <v>100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9" t="str">
        <f>IF(RocketLocator[[#This Row],[Quantity Needed]]&gt;RocketLocator[[#This Row],[Quantity on Hand]],RocketLocator[[#This Row],[Quantity Needed]]-RocketLocator[[#This Row],[Quantity on Hand]],"")</f>
        <v/>
      </c>
    </row>
    <row r="40" spans="1:17" x14ac:dyDescent="0.45">
      <c r="A40">
        <v>39</v>
      </c>
      <c r="B40" t="inlineStr">
        <is>
          <t xml:space="preserve">R20,R29,R42,R44,R49,R50,R51,R52</t>
        </is>
      </c>
      <c r="C40" t="s">
        <v>7</v>
      </c>
      <c r="D40">
        <v>8</v>
      </c>
      <c r="E40" t="s">
        <v>164</v>
      </c>
      <c r="F40" t="s">
        <v>141</v>
      </c>
      <c r="G40" t="inlineStr">
        <is>
          <t>Basic</t>
        </is>
      </c>
      <c r="H40">
        <v>0.0015</v>
      </c>
      <c r="I40" s="3">
        <f>RocketLocator[[#This Row],[Quantity]]*RocketLocator[[#This Row],[Unit Cost]]</f>
        <v>0.012</v>
      </c>
      <c r="J40">
        <v>4960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40" t="str">
        <f>IF(RocketLocator[[#This Row],[Quantity Needed]]&gt;RocketLocator[[#This Row],[Quantity on Hand]],RocketLocator[[#This Row],[Quantity Needed]]-RocketLocator[[#This Row],[Quantity on Hand]],"")</f>
        <v/>
      </c>
      <c r="Q40" t="inlineStr">
        <is>
          <t xml:space="preserve">R20 was 1M before Topology A; R49-R52 are deploy FET gate pulldowns</t>
        </is>
      </c>
    </row>
    <row r="41" spans="1:17" x14ac:dyDescent="0.45">
      <c r="A41">
        <v>40</v>
      </c>
      <c r="B41" t="inlineStr">
        <is>
          <t xml:space="preserve">R53,R54,R55,R56</t>
        </is>
      </c>
      <c r="C41" t="inlineStr">
        <is>
          <t xml:space="preserve">R_0402_1005Metric</t>
        </is>
      </c>
      <c r="D41">
        <v>4</v>
      </c>
      <c r="E41" t="inlineStr">
        <is>
          <t xml:space="preserve">1K</t>
        </is>
      </c>
      <c r="F41" t="inlineStr">
        <is>
          <t xml:space="preserve">C11702</t>
        </is>
      </c>
      <c r="G41" t="inlineStr">
        <is>
          <t>Basic</t>
        </is>
      </c>
      <c r="H41">
        <v>0.0013</v>
      </c>
      <c r="I41" s="3">
        <f>RocketLocator[[#This Row],[Quantity]]*RocketLocator[[#This Row],[Unit Cost]]</f>
        <v>0.0052</v>
      </c>
      <c r="K41">
        <v>10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1">
        <f>IF(RocketLocator[[#This Row],[Quantity Needed]]&gt;RocketLocator[[#This Row],[Quantity on Hand]],RocketLocator[[#This Row],[Quantity Needed]]-RocketLocator[[#This Row],[Quantity on Hand]],"")</f>
        <v>130</v>
      </c>
      <c r="Q41" t="inlineStr">
        <is>
          <t xml:space="preserve">New: DEPLOY1+..4+ bleeders (Topology A); unit cost is LCSC 100+ price (Oct 2026)</t>
        </is>
      </c>
    </row>
    <row r="42" spans="1:13" x14ac:dyDescent="0.45">
      <c r="A42">
        <v>41</v>
      </c>
      <c r="B42" t="s">
        <v>190</v>
      </c>
      <c r="C42" t="s">
        <v>13</v>
      </c>
      <c r="D42">
        <v>5</v>
      </c>
      <c r="E42" t="s">
        <v>14</v>
      </c>
      <c r="F42" t="s">
        <v>142</v>
      </c>
      <c r="G42" t="inlineStr">
        <is>
          <t>Extended</t>
        </is>
      </c>
      <c r="H42">
        <v>0.5919</v>
      </c>
      <c r="I42" s="3">
        <f>RocketLocator[[#This Row],[Quantity]]*RocketLocator[[#This Row],[Unit Cost]]</f>
        <v>2.9595</v>
      </c>
      <c r="J42">
        <v>120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2">
        <f>IF(RocketLocator[[#This Row],[Quantity Needed]]&gt;RocketLocator[[#This Row],[Quantity on Hand]],RocketLocator[[#This Row],[Quantity Needed]]-RocketLocator[[#This Row],[Quantity on Hand]],"")</f>
        <v>30</v>
      </c>
    </row>
    <row r="43" spans="1:13" x14ac:dyDescent="0.45">
      <c r="A43">
        <v>42</v>
      </c>
      <c r="B43" t="s">
        <v>93</v>
      </c>
      <c r="C43" t="s">
        <v>94</v>
      </c>
      <c r="D43">
        <v>1</v>
      </c>
      <c r="E43" t="s">
        <v>95</v>
      </c>
      <c r="F43" t="s">
        <v>143</v>
      </c>
      <c r="G43" t="inlineStr">
        <is>
          <t>Extended</t>
        </is>
      </c>
      <c r="H43">
        <v>0.3336</v>
      </c>
      <c r="I43" s="3">
        <f>RocketLocator[[#This Row],[Quantity]]*RocketLocator[[#This Row],[Unit Cost]]</f>
        <v>0.3336</v>
      </c>
      <c r="J43">
        <v>30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</row>
    <row r="44" spans="1:17" x14ac:dyDescent="0.45">
      <c r="A44">
        <v>43</v>
      </c>
      <c r="B44" t="s">
        <v>100</v>
      </c>
      <c r="C44" t="inlineStr">
        <is>
          <t xml:space="preserve">WQFN 14 3.00 mm × 2.50 mm</t>
        </is>
      </c>
      <c r="D44">
        <v>1</v>
      </c>
      <c r="E44" t="s">
        <v>156</v>
      </c>
      <c r="F44" t="s">
        <v>155</v>
      </c>
      <c r="G44" t="inlineStr">
        <is>
          <t>Extended</t>
        </is>
      </c>
      <c r="H44">
        <v>0.3679</v>
      </c>
      <c r="I44" s="3">
        <f>RocketLocator[[#This Row],[Quantity]]*RocketLocator[[#This Row],[Unit Cost]]</f>
        <v>0.3679</v>
      </c>
      <c r="J44">
        <v>50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 t="str">
        <f>IF(RocketLocator[[#This Row],[Quantity Needed]]&gt;RocketLocator[[#This Row],[Quantity on Hand]],RocketLocator[[#This Row],[Quantity Needed]]-RocketLocator[[#This Row],[Quantity on Hand]],"")</f>
        <v/>
      </c>
      <c r="Q44" t="s">
        <v>154</v>
      </c>
    </row>
    <row r="45" spans="1:14" x14ac:dyDescent="0.45">
      <c r="A45">
        <v>44</v>
      </c>
      <c r="B45" t="s">
        <v>78</v>
      </c>
      <c r="C45" t="s">
        <v>79</v>
      </c>
      <c r="D45">
        <v>1</v>
      </c>
      <c r="E45" t="s">
        <v>80</v>
      </c>
      <c r="F45" t="s">
        <v>144</v>
      </c>
      <c r="G45" t="inlineStr">
        <is>
          <t>Extended</t>
        </is>
      </c>
      <c r="H45">
        <v>0.7504</v>
      </c>
      <c r="I45" s="3">
        <f>RocketLocator[[#This Row],[Quantity]]*RocketLocator[[#This Row],[Unit Cost]]</f>
        <v>0.7504</v>
      </c>
      <c r="J45">
        <v>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>
        <f>IF(RocketLocator[[#This Row],[Quantity Needed]]&gt;RocketLocator[[#This Row],[Quantity on Hand]],RocketLocator[[#This Row],[Quantity Needed]]-RocketLocator[[#This Row],[Quantity on Hand]],"")</f>
        <v>30</v>
      </c>
      <c r="N45">
        <v>34</v>
      </c>
    </row>
    <row r="46" spans="1:13" x14ac:dyDescent="0.45">
      <c r="A46">
        <v>45</v>
      </c>
      <c r="B46" t="s">
        <v>4</v>
      </c>
      <c r="C46" t="s">
        <v>5</v>
      </c>
      <c r="D46">
        <v>1</v>
      </c>
      <c r="E46" t="s">
        <v>6</v>
      </c>
      <c r="F46" t="s">
        <v>145</v>
      </c>
      <c r="G46" t="inlineStr">
        <is>
          <t>Extended</t>
        </is>
      </c>
      <c r="H46">
        <v>14.1006</v>
      </c>
      <c r="I46" s="3">
        <f>RocketLocator[[#This Row],[Quantity]]*RocketLocator[[#This Row],[Unit Cost]]</f>
        <v>14.1006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57</v>
      </c>
      <c r="C47" t="s">
        <v>58</v>
      </c>
      <c r="D47">
        <v>1</v>
      </c>
      <c r="E47" t="s">
        <v>59</v>
      </c>
      <c r="F47" t="s">
        <v>146</v>
      </c>
      <c r="G47" t="inlineStr">
        <is>
          <t>Extended</t>
        </is>
      </c>
      <c r="H47">
        <v>5.467</v>
      </c>
      <c r="I47" s="3">
        <f>RocketLocator[[#This Row],[Quantity]]*RocketLocator[[#This Row],[Unit Cost]]</f>
        <v>5.467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3" x14ac:dyDescent="0.45">
      <c r="A48">
        <v>47</v>
      </c>
      <c r="B48" t="s">
        <v>90</v>
      </c>
      <c r="C48" t="s">
        <v>91</v>
      </c>
      <c r="D48">
        <v>1</v>
      </c>
      <c r="E48" t="s">
        <v>92</v>
      </c>
      <c r="F48" t="s">
        <v>147</v>
      </c>
      <c r="G48" t="inlineStr">
        <is>
          <t>Extended</t>
        </is>
      </c>
      <c r="H48">
        <v>2.0322</v>
      </c>
      <c r="I48" s="3">
        <f>RocketLocator[[#This Row],[Quantity]]*RocketLocator[[#This Row],[Unit Cost]]</f>
        <v>2.0322</v>
      </c>
      <c r="J48">
        <v>30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 t="str">
        <f>IF(RocketLocator[[#This Row],[Quantity Needed]]&gt;RocketLocator[[#This Row],[Quantity on Hand]],RocketLocator[[#This Row],[Quantity Needed]]-RocketLocator[[#This Row],[Quantity on Hand]],"")</f>
        <v/>
      </c>
    </row>
    <row r="49" spans="1:14" x14ac:dyDescent="0.45">
      <c r="A49">
        <v>48</v>
      </c>
      <c r="B49" t="s">
        <v>81</v>
      </c>
      <c r="C49" t="s">
        <v>82</v>
      </c>
      <c r="D49">
        <v>1</v>
      </c>
      <c r="E49" t="s">
        <v>82</v>
      </c>
      <c r="F49" t="s">
        <v>148</v>
      </c>
      <c r="G49" t="inlineStr">
        <is>
          <t>Extended</t>
        </is>
      </c>
      <c r="H49">
        <v>1.1346</v>
      </c>
      <c r="I49" s="3">
        <f>RocketLocator[[#This Row],[Quantity]]*RocketLocator[[#This Row],[Unit Cost]]</f>
        <v>1.1346</v>
      </c>
      <c r="J49">
        <v>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>
        <f>IF(RocketLocator[[#This Row],[Quantity Needed]]&gt;RocketLocator[[#This Row],[Quantity on Hand]],RocketLocator[[#This Row],[Quantity Needed]]-RocketLocator[[#This Row],[Quantity on Hand]],"")</f>
        <v>30</v>
      </c>
      <c r="N49">
        <v>30</v>
      </c>
    </row>
    <row r="50" spans="1:13" x14ac:dyDescent="0.45">
      <c r="A50">
        <v>49</v>
      </c>
      <c r="B50" t="s">
        <v>46</v>
      </c>
      <c r="C50" t="s">
        <v>47</v>
      </c>
      <c r="D50">
        <v>1</v>
      </c>
      <c r="E50" t="s">
        <v>48</v>
      </c>
      <c r="F50" t="s">
        <v>149</v>
      </c>
      <c r="G50" t="inlineStr">
        <is>
          <t>Extended</t>
        </is>
      </c>
      <c r="H50">
        <v>20.5582</v>
      </c>
      <c r="I50" s="3">
        <f>RocketLocator[[#This Row],[Quantity]]*RocketLocator[[#This Row],[Unit Cost]]</f>
        <v>20.5582</v>
      </c>
      <c r="J50">
        <v>30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69</v>
      </c>
      <c r="C51" t="s">
        <v>70</v>
      </c>
      <c r="D51">
        <v>1</v>
      </c>
      <c r="E51" t="s">
        <v>71</v>
      </c>
      <c r="F51" t="s">
        <v>150</v>
      </c>
      <c r="G51" t="inlineStr">
        <is>
          <t>Extended</t>
        </is>
      </c>
      <c r="H51">
        <v>0.2927</v>
      </c>
      <c r="I51" s="3">
        <f>RocketLocator[[#This Row],[Quantity]]*RocketLocator[[#This Row],[Unit Cost]]</f>
        <v>0.2927</v>
      </c>
      <c r="J51">
        <v>60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83</v>
      </c>
      <c r="C52" t="s">
        <v>84</v>
      </c>
      <c r="D52">
        <v>1</v>
      </c>
      <c r="E52" t="s">
        <v>85</v>
      </c>
      <c r="F52" t="s">
        <v>152</v>
      </c>
      <c r="G52" t="inlineStr">
        <is>
          <t>Extended</t>
        </is>
      </c>
      <c r="H52">
        <v>0.4284</v>
      </c>
      <c r="I52" s="3">
        <f>RocketLocator[[#This Row],[Quantity]]*RocketLocator[[#This Row],[Unit Cost]]</f>
        <v>0.4284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60</v>
      </c>
      <c r="C53" t="s">
        <v>61</v>
      </c>
      <c r="D53">
        <v>1</v>
      </c>
      <c r="E53" t="s">
        <v>62</v>
      </c>
      <c r="F53" t="s">
        <v>151</v>
      </c>
      <c r="G53" t="inlineStr">
        <is>
          <t>Extended</t>
        </is>
      </c>
      <c r="H53">
        <v>24.6878</v>
      </c>
      <c r="I53" s="3">
        <f>RocketLocator[[#This Row],[Quantity]]*RocketLocator[[#This Row],[Unit Cost]]</f>
        <v>24.6878</v>
      </c>
      <c r="J53">
        <v>30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  <row r="54" spans="1:13" x14ac:dyDescent="0.45">
      <c r="A54">
        <v>53</v>
      </c>
      <c r="B54" t="s">
        <v>72</v>
      </c>
      <c r="C54" t="s">
        <v>73</v>
      </c>
      <c r="D54">
        <v>1</v>
      </c>
      <c r="E54" t="s">
        <v>74</v>
      </c>
      <c r="F54" t="s">
        <v>153</v>
      </c>
      <c r="G54" t="inlineStr">
        <is>
          <t>Extended</t>
        </is>
      </c>
      <c r="H54">
        <v>0.1196</v>
      </c>
      <c r="I54" s="3">
        <f>RocketLocator[[#This Row],[Quantity]]*RocketLocator[[#This Row],[Unit Cost]]</f>
        <v>0.1196</v>
      </c>
      <c r="J54">
        <v>127</v>
      </c>
      <c r="K54">
        <v>0</v>
      </c>
      <c r="L5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4" t="str">
        <f>IF(RocketLocator[[#This Row],[Quantity Needed]]&gt;RocketLocator[[#This Row],[Quantity on Hand]],RocketLocator[[#This Row],[Quantity Needed]]-RocketLocator[[#This Row],[Quantity on Hand]],"")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2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  <row r="2" spans="1:2" x14ac:dyDescent="0.45">
      <c r="A2" t="inlineStr">
        <is>
          <t>Unit cost source</t>
        </is>
      </c>
      <c r="B2" t="inlineStr">
        <is>
          <t>JLCPCB parts API, 2026-10-21; price tier for each row's Quantity Needed (USD)</t>
        </is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