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lectronics\KiCad\RocketLocator\BOM\"/>
    </mc:Choice>
  </mc:AlternateContent>
  <xr:revisionPtr revIDLastSave="0" documentId="8_{6A3270A4-A493-4C57-BBAF-D726AF0E4784}" xr6:coauthVersionLast="47" xr6:coauthVersionMax="47" xr10:uidLastSave="{00000000-0000-0000-0000-000000000000}"/>
  <bookViews>
    <workbookView xWindow="-98" yWindow="-98" windowWidth="28996" windowHeight="17475" activeTab="1" xr2:uid="{1D25C8C3-41C4-4E28-A89A-D47773A9AEA1}"/>
  </bookViews>
  <sheets>
    <sheet name="JLCPCB Upload" sheetId="4" r:id="rId1"/>
    <sheet name="RocketLocator" sheetId="2" r:id="rId2"/>
    <sheet name="Assumptions" sheetId="3" r:id="rId3"/>
  </sheets>
  <definedNames>
    <definedName name="ExternalData_1" localSheetId="1" hidden="1">'RocketLocator'!$A$1:$E$54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3DBF9D-E6AA-4131-870A-D99A30AE1900}" keepAlive="1" name="Query - RocketLocator" description="Connection to the 'RocketLocator' query in the workbook." type="5" refreshedVersion="8" background="1" saveData="1">
    <dbPr connection="Provider=Microsoft.Mashup.OleDb.1;Data Source=$Workbook$;Location=RocketLocator;Extended Properties=&quot;&quot;" command="SELECT * FROM [RocketLocator]"/>
  </connection>
</connections>
</file>

<file path=xl/sharedStrings.xml><?xml version="1.0" encoding="utf-8"?>
<sst xmlns="http://schemas.openxmlformats.org/spreadsheetml/2006/main" count="462" uniqueCount="199">
  <si>
    <t>Id</t>
  </si>
  <si>
    <t>Designator</t>
  </si>
  <si>
    <t>Footprint</t>
  </si>
  <si>
    <t>Quantity</t>
  </si>
  <si>
    <t>U14</t>
  </si>
  <si>
    <t>U_LGA-14L_2p5X3p0X0p83_STM</t>
  </si>
  <si>
    <t>ISM6HG256XTR</t>
  </si>
  <si>
    <t>R_0402_1005Metric</t>
  </si>
  <si>
    <t>47K</t>
  </si>
  <si>
    <t>Plated Through Hole Small</t>
  </si>
  <si>
    <t>Tst</t>
  </si>
  <si>
    <t>100</t>
  </si>
  <si>
    <t>620</t>
  </si>
  <si>
    <t>IC_TPS22950YBHR</t>
  </si>
  <si>
    <t>TPS22950YBHR</t>
  </si>
  <si>
    <t>C_0402_1005Metric</t>
  </si>
  <si>
    <t>1uF</t>
  </si>
  <si>
    <t>Q3</t>
  </si>
  <si>
    <t>DFN1006-3L</t>
  </si>
  <si>
    <t>BSS84</t>
  </si>
  <si>
    <t>10K</t>
  </si>
  <si>
    <t>1M</t>
  </si>
  <si>
    <t>2N7002KN</t>
  </si>
  <si>
    <t>120</t>
  </si>
  <si>
    <t>J8</t>
  </si>
  <si>
    <t>SAMTEC_FTR-107-51-G-D</t>
  </si>
  <si>
    <t>Conn_ST_STDC14</t>
  </si>
  <si>
    <t>0.1uF</t>
  </si>
  <si>
    <t>R5,R13,R14</t>
  </si>
  <si>
    <t>47</t>
  </si>
  <si>
    <t>J2</t>
  </si>
  <si>
    <t>PinHeader_1x04_P2.54mm_Vertical</t>
  </si>
  <si>
    <t>Deploy Ch1 / Ch2</t>
  </si>
  <si>
    <t>D4,D5</t>
  </si>
  <si>
    <t>LED_XL-Z1912RGBA-SG</t>
  </si>
  <si>
    <t>J1</t>
  </si>
  <si>
    <t>USB_C_Receptacle_Palconn_UTC16-G</t>
  </si>
  <si>
    <t>USB_C</t>
  </si>
  <si>
    <t>R6</t>
  </si>
  <si>
    <t>J7</t>
  </si>
  <si>
    <t>U.FL or SMA Connector</t>
  </si>
  <si>
    <t>U.FL-R-SMT(01)</t>
  </si>
  <si>
    <t>MountingHole_2.2mm_M2</t>
  </si>
  <si>
    <t>MountingHole</t>
  </si>
  <si>
    <t>J12</t>
  </si>
  <si>
    <t>Battery / Switch</t>
  </si>
  <si>
    <t>U2</t>
  </si>
  <si>
    <t>XCVR_SAM-M10Q-00B</t>
  </si>
  <si>
    <t>SAM-M10Q-00B</t>
  </si>
  <si>
    <t>R15</t>
  </si>
  <si>
    <t>J3</t>
  </si>
  <si>
    <t>PinHeader_1x01_P2.54mm_Vertical</t>
  </si>
  <si>
    <t>Battery-</t>
  </si>
  <si>
    <t>LS1</t>
  </si>
  <si>
    <t>PiezoBuzzer</t>
  </si>
  <si>
    <t>SPKR</t>
  </si>
  <si>
    <t>R7</t>
  </si>
  <si>
    <t>U16</t>
  </si>
  <si>
    <t>LGA-8_3x5mm_P1.25mm</t>
  </si>
  <si>
    <t>MS5611-01BA</t>
  </si>
  <si>
    <t>U5</t>
  </si>
  <si>
    <t>LGA-92_10X10_STM</t>
  </si>
  <si>
    <t>STM32WL5MOCH6TR</t>
  </si>
  <si>
    <t>J4</t>
  </si>
  <si>
    <t>Deploy Ch3 / Ch4</t>
  </si>
  <si>
    <t>10uF</t>
  </si>
  <si>
    <t>D1</t>
  </si>
  <si>
    <t>LED_0402_1005Metric</t>
  </si>
  <si>
    <t>Green LED</t>
  </si>
  <si>
    <t>U3</t>
  </si>
  <si>
    <t>X2SON</t>
  </si>
  <si>
    <t>DRV5032DUDMRR</t>
  </si>
  <si>
    <t>U7</t>
  </si>
  <si>
    <t>SOT94P280X100-5N</t>
  </si>
  <si>
    <t>RT9080-33GJ5</t>
  </si>
  <si>
    <t>R11</t>
  </si>
  <si>
    <t>2.2uF</t>
  </si>
  <si>
    <t>R9</t>
  </si>
  <si>
    <t>U13</t>
  </si>
  <si>
    <t>Diodes_UDFN2020-6_Type-F</t>
  </si>
  <si>
    <t>DMP2021UFDF</t>
  </si>
  <si>
    <t>U18</t>
  </si>
  <si>
    <t>BQ25185DLHR</t>
  </si>
  <si>
    <t>U4</t>
  </si>
  <si>
    <t>JEITA_SOIC-8_3.9x4.9mm_P1.27mm</t>
  </si>
  <si>
    <t>CH340N</t>
  </si>
  <si>
    <t>R10,R25</t>
  </si>
  <si>
    <t>5.1K</t>
  </si>
  <si>
    <t>C17</t>
  </si>
  <si>
    <t>10nF</t>
  </si>
  <si>
    <t>U17</t>
  </si>
  <si>
    <t>SOP-8_5.28x5.23mm_P1.27mm</t>
  </si>
  <si>
    <t>MX25L6436F</t>
  </si>
  <si>
    <t>U11</t>
  </si>
  <si>
    <t>W-QFN2020-12-EP(2x2)</t>
  </si>
  <si>
    <t>PAM8904EGPR</t>
  </si>
  <si>
    <t>R32</t>
  </si>
  <si>
    <t>470</t>
  </si>
  <si>
    <t>R8</t>
  </si>
  <si>
    <t>13K</t>
  </si>
  <si>
    <t>U12</t>
  </si>
  <si>
    <t>Comment</t>
  </si>
  <si>
    <t>JLCPCB Part #（optional）</t>
  </si>
  <si>
    <t>Type</t>
  </si>
  <si>
    <t>Unit Cost</t>
  </si>
  <si>
    <t>Total</t>
  </si>
  <si>
    <t>Quantity on Hand</t>
  </si>
  <si>
    <t>Attrition Quantity</t>
  </si>
  <si>
    <t>Quantity Needed</t>
  </si>
  <si>
    <t>Gap</t>
  </si>
  <si>
    <t>Quantity Ordered</t>
  </si>
  <si>
    <t>Order Status</t>
  </si>
  <si>
    <t>Lead Time Estimate</t>
  </si>
  <si>
    <t>Next production run quantity</t>
  </si>
  <si>
    <t>C307418</t>
  </si>
  <si>
    <t>Extended</t>
  </si>
  <si>
    <t>C15525</t>
  </si>
  <si>
    <t>Basic</t>
  </si>
  <si>
    <t>C15195</t>
  </si>
  <si>
    <t>C52923</t>
  </si>
  <si>
    <t>C1525</t>
  </si>
  <si>
    <t>C965794</t>
  </si>
  <si>
    <t>C22461785</t>
  </si>
  <si>
    <t>N/A</t>
  </si>
  <si>
    <t>C2927038</t>
  </si>
  <si>
    <t>C5137195</t>
  </si>
  <si>
    <t>C49009905</t>
  </si>
  <si>
    <t>C42394022</t>
  </si>
  <si>
    <t>C294638</t>
  </si>
  <si>
    <t>C25105</t>
  </si>
  <si>
    <t>C25076</t>
  </si>
  <si>
    <t>C4961</t>
  </si>
  <si>
    <t>C26083</t>
  </si>
  <si>
    <t>C25117</t>
  </si>
  <si>
    <t>C25079</t>
  </si>
  <si>
    <t>C25792</t>
  </si>
  <si>
    <t>C25531</t>
  </si>
  <si>
    <t>C25118</t>
  </si>
  <si>
    <t>C25091</t>
  </si>
  <si>
    <t>C48971914</t>
  </si>
  <si>
    <t>C25754</t>
  </si>
  <si>
    <t>C25741</t>
  </si>
  <si>
    <t>C3230039</t>
  </si>
  <si>
    <t>C510550</t>
  </si>
  <si>
    <t>C151459</t>
  </si>
  <si>
    <t>C51931514</t>
  </si>
  <si>
    <t>C15639</t>
  </si>
  <si>
    <t>C2830754</t>
  </si>
  <si>
    <t>C19725033</t>
  </si>
  <si>
    <t>C5443880</t>
  </si>
  <si>
    <t>C2152495</t>
  </si>
  <si>
    <t>C22363244</t>
  </si>
  <si>
    <t>C2977777</t>
  </si>
  <si>
    <t>C841192</t>
  </si>
  <si>
    <t>Replacing C295467</t>
  </si>
  <si>
    <t>C4469587</t>
  </si>
  <si>
    <t>SN74HCS00BQA-Q1</t>
  </si>
  <si>
    <t xml:space="preserve"> WQFN (14) 3.00 mm × 2.50 mm</t>
  </si>
  <si>
    <t>C19</t>
  </si>
  <si>
    <t>47uF</t>
  </si>
  <si>
    <t>R21,R22</t>
  </si>
  <si>
    <t>4.7K</t>
  </si>
  <si>
    <t>C25900</t>
  </si>
  <si>
    <t>Q1</t>
  </si>
  <si>
    <t>100K</t>
  </si>
  <si>
    <t>C32,C37</t>
  </si>
  <si>
    <t>4.7uF</t>
  </si>
  <si>
    <t>C26</t>
  </si>
  <si>
    <t>X5R</t>
  </si>
  <si>
    <t>X7R</t>
  </si>
  <si>
    <t>C7</t>
  </si>
  <si>
    <t>C2981728</t>
  </si>
  <si>
    <t>C_1206_3216Metric</t>
  </si>
  <si>
    <t>C24265089</t>
  </si>
  <si>
    <t xml:space="preserve">C25207446 </t>
  </si>
  <si>
    <t>27K 0.1%</t>
  </si>
  <si>
    <t>8.2K 0.1%</t>
  </si>
  <si>
    <t>C368809</t>
  </si>
  <si>
    <t>C96123</t>
  </si>
  <si>
    <t>C0G</t>
  </si>
  <si>
    <t>C15,C16,C21</t>
  </si>
  <si>
    <t>H1,H2,H3,H4</t>
  </si>
  <si>
    <t>J16,J17,J18,J19,J20,J25</t>
  </si>
  <si>
    <t>R2,R18,R24,R36,R38</t>
  </si>
  <si>
    <t>R3,R17,R20,R30</t>
  </si>
  <si>
    <t>R33,R34</t>
  </si>
  <si>
    <t>R27,R28,R37,R39</t>
  </si>
  <si>
    <t>R1,R12,R23,R26,R31,R40,R41</t>
  </si>
  <si>
    <t>R4,R16,R19,R35,R43</t>
  </si>
  <si>
    <t>R29,R42,R44</t>
  </si>
  <si>
    <t>U1,U6,U8,U9,U15</t>
  </si>
  <si>
    <t>C2,C3,C4,C5,C11,C12,C13,C14,C18,C38</t>
  </si>
  <si>
    <t>C1,C6,C8,C9,C10,C20,C36</t>
  </si>
  <si>
    <t>Notes</t>
  </si>
  <si>
    <t>U19</t>
  </si>
  <si>
    <t>LGA-16_3x3mm_P0.5mm</t>
  </si>
  <si>
    <t>MMC5983MA</t>
  </si>
  <si>
    <t>C404329</t>
  </si>
  <si>
    <t>Added 2026-10-21: magnetometer on I2C2 (0x30)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</si>
</sst>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44" fontId="0" fillId="0" borderId="0" xfId="0" applyNumberFormat="1"/>
  </cellXfs>
  <cellStyles count="2">
    <cellStyle name="Normal" xfId="0" builtinId="0"/>
    <cellStyle name="Normal 2" xfId="1" xr:uid="{53737E28-835E-43AF-BA3F-02DC05DF411F}"/>
  </cellStyles>
  <dxfs count="7"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2658B6-BA06-4421-81D9-4E78A72EC978}" autoFormatId="16" applyNumberFormats="0" applyBorderFormats="0" applyFontFormats="0" applyPatternFormats="0" applyAlignmentFormats="0" applyWidthHeightFormats="0">
  <queryTableRefresh nextId="22" unboundColumnsRight="12">
    <queryTableFields count="17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9" dataBound="0" tableColumnId="9"/>
      <queryTableField id="11" dataBound="0" tableColumnId="10"/>
      <queryTableField id="12" dataBound="0" tableColumnId="11"/>
      <queryTableField id="13" dataBound="0" tableColumnId="12"/>
      <queryTableField id="14" dataBound="0" tableColumnId="13"/>
      <queryTableField id="15" dataBound="0" tableColumnId="14"/>
      <queryTableField id="16" dataBound="0" tableColumnId="15"/>
      <queryTableField id="17" dataBound="0" tableColumnId="16"/>
      <queryTableField id="18" dataBound="0" tableColumnId="17"/>
      <queryTableField id="19" dataBound="0" tableColumnId="18"/>
      <queryTableField id="20" dataBound="0" tableColumnId="19"/>
      <queryTableField id="21" dataBound="0" tableColumnId="6"/>
    </queryTableFields>
    <queryTableDeletedFields count="3">
      <deletedField name="Supplier and ref"/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D4CDA-AFCF-44BD-8318-990371684043}" name="RocketLocator" displayName="RocketLocator" ref="A1:Q54" tableType="queryTable" totalsRowShown="0">
  <autoFilter ref="A1:Q54" xr:uid="{4C7D4CDA-AFCF-44BD-8318-990371684043}"/>
  <sortState xmlns:xlrd2="http://schemas.microsoft.com/office/spreadsheetml/2017/richdata2" ref="A2:P54">
    <sortCondition ref="B2:B54"/>
  </sortState>
  <tableColumns count="17">
    <tableColumn id="1" xr3:uid="{0660759B-7B44-48B6-BB59-01895697A8CF}" uniqueName="1" name="Id" queryTableFieldId="1"/>
    <tableColumn id="2" xr3:uid="{D9544387-1790-4ACA-8A60-FAE3E58BF208}" uniqueName="2" name="Designator" queryTableFieldId="2" dataDxfId="6"/>
    <tableColumn id="3" xr3:uid="{B31D6BFE-0893-4888-80BA-F699FFC53440}" uniqueName="3" name="Footprint" queryTableFieldId="3" dataDxfId="5"/>
    <tableColumn id="4" xr3:uid="{EBC0DD9E-536A-4683-9562-EEB229223659}" uniqueName="4" name="Quantity" queryTableFieldId="4"/>
    <tableColumn id="5" xr3:uid="{87A49AC3-71EB-4931-936A-29F1CFC12ED8}" uniqueName="5" name="Comment" queryTableFieldId="5" dataDxfId="4"/>
    <tableColumn id="9" xr3:uid="{56F8F10D-66CF-4BC4-A137-56F72849F39B}" uniqueName="9" name="JLCPCB Part #（optional）" queryTableFieldId="9" dataDxfId="3"/>
    <tableColumn id="10" xr3:uid="{93019C81-E7E8-49D2-84F2-014C146F55F1}" uniqueName="10" name="Type" queryTableFieldId="11"/>
    <tableColumn id="11" xr3:uid="{C4C8337E-AE29-4823-9144-478EB500EEC8}" uniqueName="11" name="Unit Cost" queryTableFieldId="12"/>
    <tableColumn id="12" xr3:uid="{8BEDCF88-365A-41E4-9447-34B177039DCD}" uniqueName="12" name="Total" queryTableFieldId="13" dataDxfId="2">
      <calculatedColumnFormula>RocketLocator[[#This Row],[Quantity]]*RocketLocator[[#This Row],[Unit Cost]]</calculatedColumnFormula>
    </tableColumn>
    <tableColumn id="13" xr3:uid="{E18FDBAD-756A-4E5D-8EFD-4EB5FC402420}" uniqueName="13" name="Quantity on Hand" queryTableFieldId="14"/>
    <tableColumn id="14" xr3:uid="{CDD3C138-0867-4851-B3FC-996A0D065CE3}" uniqueName="14" name="Attrition Quantity" queryTableFieldId="15"/>
    <tableColumn id="15" xr3:uid="{F00D2D5D-FEA4-404D-BF1F-B082BE661C10}" uniqueName="15" name="Quantity Needed" queryTableFieldId="16" dataDxfId="1">
      <calculatedColumnFormula>IF(AND(RocketLocator[[#This Row],[Quantity]]&gt;0,RocketLocator[[#This Row],[JLCPCB Part '#（optional）]]&lt;&gt;"N/A"),Assumptions!$B$1*RocketLocator[[#This Row],[Quantity]]+RocketLocator[[#This Row],[Attrition Quantity]],0)</calculatedColumnFormula>
    </tableColumn>
    <tableColumn id="16" xr3:uid="{316A0ADA-A42F-455D-8257-8156A13175A0}" uniqueName="16" name="Gap" queryTableFieldId="17" dataDxfId="0">
      <calculatedColumnFormula>IF(RocketLocator[[#This Row],[Quantity Needed]]&gt;RocketLocator[[#This Row],[Quantity on Hand]],RocketLocator[[#This Row],[Quantity Needed]]-RocketLocator[[#This Row],[Quantity on Hand]],"")</calculatedColumnFormula>
    </tableColumn>
    <tableColumn id="17" xr3:uid="{483B677C-D6A3-4449-89A2-51D17927791E}" uniqueName="17" name="Quantity Ordered" queryTableFieldId="18"/>
    <tableColumn id="18" xr3:uid="{0D05E6E5-3196-4D27-B700-67562F503338}" uniqueName="18" name="Order Status" queryTableFieldId="19"/>
    <tableColumn id="19" xr3:uid="{89256425-D8BE-4900-852C-B1ABBE671E69}" uniqueName="19" name="Lead Time Estimate" queryTableFieldId="20"/>
    <tableColumn id="6" xr3:uid="{2CDE7688-3722-4C5B-8B8F-F4F91C5AF45D}" uniqueName="6" name="Note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5C0D-EF73-420E-9FF2-D4B1756536CB}">
  <dimension ref="A1:D47"/>
  <sheetViews>
    <sheetView workbookViewId="0"/>
  </sheetViews>
  <sheetFormatPr defaultRowHeight="14.25" x14ac:dyDescent="0.45"/>
  <cols>
    <col min="1" max="1" width="19.3984375" bestFit="1" customWidth="1"/>
    <col min="2" max="2" width="35.59765625" bestFit="1" customWidth="1"/>
    <col min="3" max="3" width="40.1328125" bestFit="1" customWidth="1"/>
    <col min="4" max="4" width="22.06640625" bestFit="1" customWidth="1"/>
  </cols>
  <sheetData>
    <row r="1" spans="1:4" x14ac:dyDescent="0.45">
      <c r="A1" t="s">
        <v>101</v>
      </c>
      <c r="B1" t="s">
        <v>1</v>
      </c>
      <c r="C1" t="s">
        <v>2</v>
      </c>
      <c r="D1" s="1" t="s">
        <v>102</v>
      </c>
    </row>
    <row r="2" spans="1:4" x14ac:dyDescent="0.45">
      <c r="A2" t="s">
        <v>76</v>
      </c>
      <c r="B2" t="s">
        <v>180</v>
      </c>
      <c r="C2" t="s">
        <v>15</v>
      </c>
      <c r="D2" t="s">
        <v>114</v>
      </c>
    </row>
    <row r="3" spans="1:4" x14ac:dyDescent="0.45">
      <c r="A3" t="s">
        <v>89</v>
      </c>
      <c r="B3" t="s">
        <v>88</v>
      </c>
      <c r="C3" t="s">
        <v>15</v>
      </c>
      <c r="D3" t="s">
        <v>118</v>
      </c>
    </row>
    <row r="4" spans="1:4" x14ac:dyDescent="0.45">
      <c r="A4" t="s">
        <v>65</v>
      </c>
      <c r="B4" t="s">
        <v>165</v>
      </c>
      <c r="C4" t="s">
        <v>15</v>
      </c>
      <c r="D4" t="s">
        <v>116</v>
      </c>
    </row>
    <row r="5" spans="1:4" x14ac:dyDescent="0.45">
      <c r="A5" t="s">
        <v>16</v>
      </c>
      <c r="B5" t="s">
        <v>191</v>
      </c>
      <c r="C5" t="s">
        <v>15</v>
      </c>
      <c r="D5" t="s">
        <v>119</v>
      </c>
    </row>
    <row r="6" spans="1:4" x14ac:dyDescent="0.45">
      <c r="A6" t="s">
        <v>27</v>
      </c>
      <c r="B6" t="inlineStr">
        <is>
          <t>C1,C6,C7,C8,C9,C10,C20,C36</t>
        </is>
      </c>
      <c r="C6" t="s">
        <v>15</v>
      </c>
      <c r="D6" t="s">
        <v>120</v>
      </c>
    </row>
    <row r="7" spans="1:4" x14ac:dyDescent="0.45">
      <c r="A7" t="s">
        <v>159</v>
      </c>
      <c r="B7" t="s">
        <v>167</v>
      </c>
      <c r="C7" t="s">
        <v>172</v>
      </c>
      <c r="D7" t="s">
        <v>178</v>
      </c>
    </row>
    <row r="8" spans="1:4" x14ac:dyDescent="0.45">
      <c r="A8" t="s">
        <v>166</v>
      </c>
      <c r="B8" t="s">
        <v>158</v>
      </c>
      <c r="C8" t="s">
        <v>15</v>
      </c>
      <c r="D8" t="s">
        <v>177</v>
      </c>
    </row>
    <row r="9" spans="1:4" x14ac:dyDescent="0.45">
      <c r="A9" t="s">
        <v>68</v>
      </c>
      <c r="B9" t="s">
        <v>66</v>
      </c>
      <c r="C9" t="s">
        <v>67</v>
      </c>
      <c r="D9" t="s">
        <v>121</v>
      </c>
    </row>
    <row r="10" spans="1:4" x14ac:dyDescent="0.45">
      <c r="A10" t="s">
        <v>34</v>
      </c>
      <c r="B10" t="s">
        <v>33</v>
      </c>
      <c r="C10" t="s">
        <v>34</v>
      </c>
      <c r="D10" t="s">
        <v>122</v>
      </c>
    </row>
    <row r="11" spans="1:4" x14ac:dyDescent="0.45">
      <c r="A11" t="s">
        <v>37</v>
      </c>
      <c r="B11" t="s">
        <v>35</v>
      </c>
      <c r="C11" t="s">
        <v>36</v>
      </c>
      <c r="D11" t="s">
        <v>124</v>
      </c>
    </row>
    <row r="12" spans="1:4" x14ac:dyDescent="0.45">
      <c r="A12" t="s">
        <v>41</v>
      </c>
      <c r="B12" t="s">
        <v>39</v>
      </c>
      <c r="C12" t="inlineStr">
        <is>
          <t xml:space="preserve">HRS_U.FL-R-SMT(01)</t>
        </is>
      </c>
      <c r="D12" t="s">
        <v>125</v>
      </c>
    </row>
    <row r="13" spans="1:4" x14ac:dyDescent="0.45">
      <c r="A13" t="s">
        <v>22</v>
      </c>
      <c r="B13" t="s">
        <v>163</v>
      </c>
      <c r="C13" t="s">
        <v>18</v>
      </c>
      <c r="D13" t="s">
        <v>126</v>
      </c>
    </row>
    <row r="14" spans="1:4" x14ac:dyDescent="0.45">
      <c r="A14" t="s">
        <v>19</v>
      </c>
      <c r="B14" t="s">
        <v>17</v>
      </c>
      <c r="C14" t="s">
        <v>18</v>
      </c>
      <c r="D14" t="s">
        <v>127</v>
      </c>
    </row>
    <row r="15" spans="1:4" x14ac:dyDescent="0.45">
      <c r="A15" t="inlineStr">
        <is>
          <t xml:space="preserve">PMXB43UNE</t>
        </is>
      </c>
      <c r="B15" t="inlineStr">
        <is>
          <t xml:space="preserve">Q4,Q5,Q6,Q7</t>
        </is>
      </c>
      <c r="C15" t="inlineStr">
        <is>
          <t xml:space="preserve">Nexperia_DFN1010D-3_SOT1215</t>
        </is>
      </c>
      <c r="D15" t="inlineStr">
        <is>
          <t xml:space="preserve">C547273</t>
        </is>
      </c>
    </row>
    <row r="16" spans="1:4" x14ac:dyDescent="0.45">
      <c r="A16" t="s">
        <v>87</v>
      </c>
      <c r="B16" t="s">
        <v>86</v>
      </c>
      <c r="C16" t="s">
        <v>7</v>
      </c>
      <c r="D16" t="s">
        <v>128</v>
      </c>
    </row>
    <row r="17" spans="1:4" x14ac:dyDescent="0.45">
      <c r="A17" t="s">
        <v>175</v>
      </c>
      <c r="B17" t="s">
        <v>75</v>
      </c>
      <c r="C17" t="s">
        <v>7</v>
      </c>
      <c r="D17" t="inlineStr">
        <is>
          <t xml:space="preserve">C25207446</t>
        </is>
      </c>
    </row>
    <row r="18" spans="1:4" x14ac:dyDescent="0.45">
      <c r="A18">
        <v>33</v>
      </c>
      <c r="B18" t="s">
        <v>49</v>
      </c>
      <c r="C18" t="s">
        <v>7</v>
      </c>
      <c r="D18" t="s">
        <v>129</v>
      </c>
    </row>
    <row r="19" spans="1:4" x14ac:dyDescent="0.45">
      <c r="A19" t="s">
        <v>12</v>
      </c>
      <c r="B19" t="s">
        <v>183</v>
      </c>
      <c r="C19" t="s">
        <v>7</v>
      </c>
      <c r="D19" t="s">
        <v>131</v>
      </c>
    </row>
    <row r="20" spans="1:4" x14ac:dyDescent="0.45">
      <c r="A20" t="s">
        <v>21</v>
      </c>
      <c r="B20" t="inlineStr">
        <is>
          <t xml:space="preserve">R3,R17,R30</t>
        </is>
      </c>
      <c r="C20" t="s">
        <v>7</v>
      </c>
      <c r="D20" t="s">
        <v>132</v>
      </c>
    </row>
    <row r="21" spans="1:4" x14ac:dyDescent="0.45">
      <c r="A21" t="s">
        <v>97</v>
      </c>
      <c r="B21" t="s">
        <v>96</v>
      </c>
      <c r="C21" t="s">
        <v>7</v>
      </c>
      <c r="D21" t="s">
        <v>133</v>
      </c>
    </row>
    <row r="22" spans="1:4" x14ac:dyDescent="0.45">
      <c r="A22" t="s">
        <v>23</v>
      </c>
      <c r="B22" t="s">
        <v>185</v>
      </c>
      <c r="C22" t="s">
        <v>7</v>
      </c>
      <c r="D22" t="s">
        <v>134</v>
      </c>
    </row>
    <row r="23" spans="1:4" x14ac:dyDescent="0.45">
      <c r="A23" t="s">
        <v>8</v>
      </c>
      <c r="B23" t="s">
        <v>186</v>
      </c>
      <c r="C23" t="s">
        <v>7</v>
      </c>
      <c r="D23" t="s">
        <v>135</v>
      </c>
    </row>
    <row r="24" spans="1:4" x14ac:dyDescent="0.45">
      <c r="A24" t="s">
        <v>20</v>
      </c>
      <c r="B24" t="s">
        <v>187</v>
      </c>
      <c r="C24" t="s">
        <v>7</v>
      </c>
      <c r="D24" t="s">
        <v>136</v>
      </c>
    </row>
    <row r="25" spans="1:4" x14ac:dyDescent="0.45">
      <c r="A25" t="s">
        <v>161</v>
      </c>
      <c r="B25" t="s">
        <v>160</v>
      </c>
      <c r="C25" t="s">
        <v>7</v>
      </c>
      <c r="D25" t="s">
        <v>162</v>
      </c>
    </row>
    <row r="26" spans="1:4" x14ac:dyDescent="0.45">
      <c r="A26" t="s">
        <v>11</v>
      </c>
      <c r="B26" t="inlineStr">
        <is>
          <t xml:space="preserve">R4,R16,R19,R35,R43,R45,R46,R47,R48</t>
        </is>
      </c>
      <c r="C26" t="s">
        <v>7</v>
      </c>
      <c r="D26" t="s">
        <v>130</v>
      </c>
    </row>
    <row r="27" spans="1:4" x14ac:dyDescent="0.45">
      <c r="A27" t="s">
        <v>29</v>
      </c>
      <c r="B27" t="s">
        <v>28</v>
      </c>
      <c r="C27" t="s">
        <v>7</v>
      </c>
      <c r="D27" t="s">
        <v>137</v>
      </c>
    </row>
    <row r="28" spans="1:4" x14ac:dyDescent="0.45">
      <c r="A28">
        <v>220</v>
      </c>
      <c r="B28" t="s">
        <v>38</v>
      </c>
      <c r="C28" t="s">
        <v>7</v>
      </c>
      <c r="D28" t="s">
        <v>138</v>
      </c>
    </row>
    <row r="29" spans="1:4" x14ac:dyDescent="0.45">
      <c r="A29">
        <v>374</v>
      </c>
      <c r="B29" t="s">
        <v>56</v>
      </c>
      <c r="C29" t="s">
        <v>7</v>
      </c>
      <c r="D29" t="s">
        <v>139</v>
      </c>
    </row>
    <row r="30" spans="1:4" x14ac:dyDescent="0.45">
      <c r="A30" t="s">
        <v>99</v>
      </c>
      <c r="B30" t="s">
        <v>98</v>
      </c>
      <c r="C30" t="s">
        <v>7</v>
      </c>
      <c r="D30" t="s">
        <v>140</v>
      </c>
    </row>
    <row r="31" spans="1:4" x14ac:dyDescent="0.45">
      <c r="A31" t="s">
        <v>176</v>
      </c>
      <c r="B31" t="s">
        <v>77</v>
      </c>
      <c r="C31" t="s">
        <v>7</v>
      </c>
      <c r="D31" t="s">
        <v>173</v>
      </c>
    </row>
    <row r="32" spans="1:4" x14ac:dyDescent="0.45">
      <c r="A32" t="s">
        <v>164</v>
      </c>
      <c r="B32" t="inlineStr">
        <is>
          <t xml:space="preserve">R20,R29,R42,R44,R49,R50,R51,R52</t>
        </is>
      </c>
      <c r="C32" t="s">
        <v>7</v>
      </c>
      <c r="D32" t="s">
        <v>141</v>
      </c>
    </row>
    <row r="33" spans="1:4" x14ac:dyDescent="0.45">
      <c r="A33" t="inlineStr">
        <is>
          <t xml:space="preserve">1K</t>
        </is>
      </c>
      <c r="B33" t="inlineStr">
        <is>
          <t xml:space="preserve">R53,R54,R55,R56</t>
        </is>
      </c>
      <c r="C33" t="inlineStr">
        <is>
          <t xml:space="preserve">R_0402_1005Metric</t>
        </is>
      </c>
      <c r="D33" t="inlineStr">
        <is>
          <t xml:space="preserve">C11702</t>
        </is>
      </c>
    </row>
    <row r="34" spans="1:4" x14ac:dyDescent="0.45">
      <c r="A34" t="s">
        <v>14</v>
      </c>
      <c r="B34" t="s">
        <v>190</v>
      </c>
      <c r="C34" t="s">
        <v>13</v>
      </c>
      <c r="D34" t="s">
        <v>142</v>
      </c>
    </row>
    <row r="35" spans="1:4" x14ac:dyDescent="0.45">
      <c r="A35" t="s">
        <v>95</v>
      </c>
      <c r="B35" t="s">
        <v>93</v>
      </c>
      <c r="C35" t="s">
        <v>94</v>
      </c>
      <c r="D35" t="s">
        <v>143</v>
      </c>
    </row>
    <row r="36" spans="1:4" x14ac:dyDescent="0.45">
      <c r="A36" t="s">
        <v>156</v>
      </c>
      <c r="B36" t="s">
        <v>100</v>
      </c>
      <c r="C36" t="inlineStr">
        <is>
          <t xml:space="preserve">WQFN 14 3.00 mm × 2.50 mm</t>
        </is>
      </c>
      <c r="D36" t="s">
        <v>155</v>
      </c>
    </row>
    <row r="37" spans="1:4" x14ac:dyDescent="0.45">
      <c r="A37" t="s">
        <v>80</v>
      </c>
      <c r="B37" t="s">
        <v>78</v>
      </c>
      <c r="C37" t="s">
        <v>79</v>
      </c>
      <c r="D37" t="s">
        <v>144</v>
      </c>
    </row>
    <row r="38" spans="1:4" x14ac:dyDescent="0.45">
      <c r="A38" t="s">
        <v>6</v>
      </c>
      <c r="B38" t="s">
        <v>4</v>
      </c>
      <c r="C38" t="s">
        <v>5</v>
      </c>
      <c r="D38" t="s">
        <v>145</v>
      </c>
    </row>
    <row r="39" spans="1:4" x14ac:dyDescent="0.45">
      <c r="A39" t="s">
        <v>59</v>
      </c>
      <c r="B39" t="s">
        <v>57</v>
      </c>
      <c r="C39" t="s">
        <v>58</v>
      </c>
      <c r="D39" t="s">
        <v>146</v>
      </c>
    </row>
    <row r="40" spans="1:4" x14ac:dyDescent="0.45">
      <c r="A40" t="s">
        <v>92</v>
      </c>
      <c r="B40" t="s">
        <v>90</v>
      </c>
      <c r="C40" t="s">
        <v>91</v>
      </c>
      <c r="D40" t="s">
        <v>147</v>
      </c>
    </row>
    <row r="41" spans="1:4" x14ac:dyDescent="0.45">
      <c r="A41" t="s">
        <v>82</v>
      </c>
      <c r="B41" t="s">
        <v>81</v>
      </c>
      <c r="C41" t="s">
        <v>82</v>
      </c>
      <c r="D41" t="s">
        <v>148</v>
      </c>
    </row>
    <row r="42" spans="1:4" x14ac:dyDescent="0.45">
      <c r="A42" t="s">
        <v>48</v>
      </c>
      <c r="B42" t="s">
        <v>46</v>
      </c>
      <c r="C42" t="s">
        <v>47</v>
      </c>
      <c r="D42" t="s">
        <v>149</v>
      </c>
    </row>
    <row r="43" spans="1:4" x14ac:dyDescent="0.45">
      <c r="A43" t="s">
        <v>71</v>
      </c>
      <c r="B43" t="s">
        <v>69</v>
      </c>
      <c r="C43" t="s">
        <v>70</v>
      </c>
      <c r="D43" t="s">
        <v>150</v>
      </c>
    </row>
    <row r="44" spans="1:4" x14ac:dyDescent="0.45">
      <c r="A44" t="s">
        <v>85</v>
      </c>
      <c r="B44" t="s">
        <v>83</v>
      </c>
      <c r="C44" t="s">
        <v>84</v>
      </c>
      <c r="D44" t="s">
        <v>152</v>
      </c>
    </row>
    <row r="45" spans="1:4" x14ac:dyDescent="0.45">
      <c r="A45" t="s">
        <v>62</v>
      </c>
      <c r="B45" t="s">
        <v>60</v>
      </c>
      <c r="C45" t="s">
        <v>61</v>
      </c>
      <c r="D45" t="s">
        <v>151</v>
      </c>
    </row>
    <row r="46" spans="1:4" x14ac:dyDescent="0.45">
      <c r="A46" t="s">
        <v>74</v>
      </c>
      <c r="B46" t="s">
        <v>72</v>
      </c>
      <c r="C46" t="s">
        <v>73</v>
      </c>
      <c r="D46" t="s">
        <v>153</v>
      </c>
    </row>
    <row r="47" spans="1:4" x14ac:dyDescent="0.45">
      <c r="A47" t="s">
        <v>196</v>
      </c>
      <c r="B47" t="s">
        <v>194</v>
      </c>
      <c r="C47" t="s">
        <v>195</v>
      </c>
      <c r="D47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B2C4-1B89-42AA-B989-7F67271C8485}">
  <dimension ref="A1:Q54"/>
  <sheetViews>
    <sheetView tabSelected="1" workbookViewId="0">
      <selection activeCell="Q43" sqref="Q43"/>
    </sheetView>
  </sheetViews>
  <sheetFormatPr defaultRowHeight="14.25" x14ac:dyDescent="0.45"/>
  <cols>
    <col min="1" max="1" width="4.46484375" bestFit="1" customWidth="1"/>
    <col min="2" max="2" width="35.59765625" bestFit="1" customWidth="1"/>
    <col min="3" max="3" width="40.1328125" bestFit="1" customWidth="1"/>
    <col min="4" max="4" width="9.6640625" bestFit="1" customWidth="1"/>
    <col min="5" max="5" width="19.3984375" bestFit="1" customWidth="1"/>
    <col min="6" max="6" width="14.53125" bestFit="1" customWidth="1"/>
    <col min="7" max="7" width="8" bestFit="1" customWidth="1"/>
    <col min="8" max="8" width="10.19921875" bestFit="1" customWidth="1"/>
    <col min="9" max="9" width="7.46484375" bestFit="1" customWidth="1"/>
    <col min="10" max="10" width="19.06640625" customWidth="1"/>
    <col min="11" max="12" width="9.6640625" bestFit="1" customWidth="1"/>
    <col min="13" max="13" width="6.1328125" bestFit="1" customWidth="1"/>
    <col min="14" max="14" width="9.6640625" bestFit="1" customWidth="1"/>
    <col min="15" max="15" width="8" bestFit="1" customWidth="1"/>
    <col min="17" max="17" width="16" bestFit="1" customWidth="1"/>
  </cols>
  <sheetData>
    <row r="1" spans="1:17" ht="28.5" x14ac:dyDescent="0.45">
      <c r="A1" t="s">
        <v>0</v>
      </c>
      <c r="B1" t="s">
        <v>1</v>
      </c>
      <c r="C1" t="s">
        <v>2</v>
      </c>
      <c r="D1" t="s">
        <v>3</v>
      </c>
      <c r="E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t="s">
        <v>193</v>
      </c>
    </row>
    <row r="2" spans="1:17" x14ac:dyDescent="0.45">
      <c r="A2">
        <v>1</v>
      </c>
      <c r="B2" t="s">
        <v>180</v>
      </c>
      <c r="C2" t="s">
        <v>15</v>
      </c>
      <c r="D2">
        <v>3</v>
      </c>
      <c r="E2" t="s">
        <v>76</v>
      </c>
      <c r="F2" t="s">
        <v>114</v>
      </c>
      <c r="G2" t="inlineStr">
        <is>
          <t>Extended</t>
        </is>
      </c>
      <c r="H2">
        <v>0.022</v>
      </c>
      <c r="I2" s="3">
        <f>RocketLocator[[#This Row],[Quantity]]*RocketLocator[[#This Row],[Unit Cost]]</f>
        <v>0.066</v>
      </c>
      <c r="J2">
        <v>210</v>
      </c>
      <c r="K2">
        <v>10</v>
      </c>
      <c r="L2">
        <f>IF(AND(RocketLocator[[#This Row],[Quantity]]&gt;0,RocketLocator[[#This Row],[JLCPCB Part '#（optional）]]&lt;&gt;"N/A"),Assumptions!$B$1*RocketLocator[[#This Row],[Quantity]]+RocketLocator[[#This Row],[Attrition Quantity]],0)</f>
        <v>100</v>
      </c>
      <c r="M2" t="str">
        <f>IF(RocketLocator[[#This Row],[Quantity Needed]]&gt;RocketLocator[[#This Row],[Quantity on Hand]],RocketLocator[[#This Row],[Quantity Needed]]-RocketLocator[[#This Row],[Quantity on Hand]],"")</f>
        <v/>
      </c>
      <c r="Q2" t="s">
        <v>168</v>
      </c>
    </row>
    <row r="3" spans="1:17" x14ac:dyDescent="0.45">
      <c r="A3">
        <v>2</v>
      </c>
      <c r="B3" t="s">
        <v>88</v>
      </c>
      <c r="C3" t="s">
        <v>15</v>
      </c>
      <c r="D3">
        <v>1</v>
      </c>
      <c r="E3" t="s">
        <v>89</v>
      </c>
      <c r="F3" t="s">
        <v>118</v>
      </c>
      <c r="G3" t="inlineStr">
        <is>
          <t>Basic</t>
        </is>
      </c>
      <c r="H3">
        <v>0.0041</v>
      </c>
      <c r="I3" s="3">
        <f>RocketLocator[[#This Row],[Quantity]]*RocketLocator[[#This Row],[Unit Cost]]</f>
        <v>0.0041</v>
      </c>
      <c r="J3">
        <v>60</v>
      </c>
      <c r="K3">
        <v>10</v>
      </c>
      <c r="L3">
        <f>IF(AND(RocketLocator[[#This Row],[Quantity]]&gt;0,RocketLocator[[#This Row],[JLCPCB Part '#（optional）]]&lt;&gt;"N/A"),Assumptions!$B$1*RocketLocator[[#This Row],[Quantity]]+RocketLocator[[#This Row],[Attrition Quantity]],0)</f>
        <v>40</v>
      </c>
      <c r="M3" t="str">
        <f>IF(RocketLocator[[#This Row],[Quantity Needed]]&gt;RocketLocator[[#This Row],[Quantity on Hand]],RocketLocator[[#This Row],[Quantity Needed]]-RocketLocator[[#This Row],[Quantity on Hand]],"")</f>
        <v/>
      </c>
      <c r="Q3" t="s">
        <v>169</v>
      </c>
    </row>
    <row r="4" spans="1:17" x14ac:dyDescent="0.45">
      <c r="A4">
        <v>3</v>
      </c>
      <c r="B4" t="s">
        <v>165</v>
      </c>
      <c r="C4" t="s">
        <v>15</v>
      </c>
      <c r="D4">
        <v>2</v>
      </c>
      <c r="E4" t="s">
        <v>65</v>
      </c>
      <c r="F4" t="s">
        <v>116</v>
      </c>
      <c r="G4" t="inlineStr">
        <is>
          <t>Basic</t>
        </is>
      </c>
      <c r="H4">
        <v>0.0257</v>
      </c>
      <c r="I4" s="3">
        <f>RocketLocator[[#This Row],[Quantity]]*RocketLocator[[#This Row],[Unit Cost]]</f>
        <v>0.0514</v>
      </c>
      <c r="J4">
        <v>930</v>
      </c>
      <c r="K4">
        <v>10</v>
      </c>
      <c r="L4">
        <f>IF(AND(RocketLocator[[#This Row],[Quantity]]&gt;0,RocketLocator[[#This Row],[JLCPCB Part '#（optional）]]&lt;&gt;"N/A"),Assumptions!$B$1*RocketLocator[[#This Row],[Quantity]]+RocketLocator[[#This Row],[Attrition Quantity]],0)</f>
        <v>70</v>
      </c>
      <c r="M4" t="str">
        <f>IF(RocketLocator[[#This Row],[Quantity Needed]]&gt;RocketLocator[[#This Row],[Quantity on Hand]],RocketLocator[[#This Row],[Quantity Needed]]-RocketLocator[[#This Row],[Quantity on Hand]],"")</f>
        <v/>
      </c>
      <c r="Q4" t="s">
        <v>168</v>
      </c>
    </row>
    <row r="5" spans="1:17" x14ac:dyDescent="0.45">
      <c r="A5">
        <v>4</v>
      </c>
      <c r="B5" t="s">
        <v>191</v>
      </c>
      <c r="C5" t="s">
        <v>15</v>
      </c>
      <c r="D5">
        <v>10</v>
      </c>
      <c r="E5" t="s">
        <v>16</v>
      </c>
      <c r="F5" t="s">
        <v>119</v>
      </c>
      <c r="G5" t="inlineStr">
        <is>
          <t>Basic</t>
        </is>
      </c>
      <c r="H5">
        <v>0.0075</v>
      </c>
      <c r="I5" s="3">
        <f>RocketLocator[[#This Row],[Quantity]]*RocketLocator[[#This Row],[Unit Cost]]</f>
        <v>0.075</v>
      </c>
      <c r="J5">
        <v>480</v>
      </c>
      <c r="K5">
        <v>10</v>
      </c>
      <c r="L5">
        <f>IF(AND(RocketLocator[[#This Row],[Quantity]]&gt;0,RocketLocator[[#This Row],[JLCPCB Part '#（optional）]]&lt;&gt;"N/A"),Assumptions!$B$1*RocketLocator[[#This Row],[Quantity]]+RocketLocator[[#This Row],[Attrition Quantity]],0)</f>
        <v>310</v>
      </c>
      <c r="M5" t="str">
        <f>IF(RocketLocator[[#This Row],[Quantity Needed]]&gt;RocketLocator[[#This Row],[Quantity on Hand]],RocketLocator[[#This Row],[Quantity Needed]]-RocketLocator[[#This Row],[Quantity on Hand]],"")</f>
        <v/>
      </c>
      <c r="Q5" t="s">
        <v>168</v>
      </c>
    </row>
    <row r="6" spans="1:17" x14ac:dyDescent="0.45">
      <c r="A6">
        <v>5</v>
      </c>
      <c r="B6" t="inlineStr">
        <is>
          <t>C1,C6,C7,C8,C9,C10,C20,C36</t>
        </is>
      </c>
      <c r="C6" t="s">
        <v>15</v>
      </c>
      <c r="D6">
        <v>8</v>
      </c>
      <c r="E6" t="s">
        <v>27</v>
      </c>
      <c r="F6" t="s">
        <v>120</v>
      </c>
      <c r="G6" t="inlineStr">
        <is>
          <t>Basic</t>
        </is>
      </c>
      <c r="H6">
        <v>0.0055</v>
      </c>
      <c r="I6" s="3">
        <f>RocketLocator[[#This Row],[Quantity]]*RocketLocator[[#This Row],[Unit Cost]]</f>
        <v>0.044</v>
      </c>
      <c r="J6">
        <v>300</v>
      </c>
      <c r="K6">
        <v>10</v>
      </c>
      <c r="L6">
        <f>IF(AND(RocketLocator[[#This Row],[Quantity]]&gt;0,RocketLocator[[#This Row],[JLCPCB Part '#（optional）]]&lt;&gt;"N/A"),Assumptions!$B$1*RocketLocator[[#This Row],[Quantity]]+RocketLocator[[#This Row],[Attrition Quantity]],0)</f>
        <v>250</v>
      </c>
      <c r="M6" t="str">
        <f>IF(RocketLocator[[#This Row],[Quantity Needed]]&gt;RocketLocator[[#This Row],[Quantity on Hand]],RocketLocator[[#This Row],[Quantity Needed]]-RocketLocator[[#This Row],[Quantity on Hand]],"")</f>
        <v/>
      </c>
      <c r="Q6" t="s">
        <v>169</v>
      </c>
    </row>
    <row r="7" spans="1:17" x14ac:dyDescent="0.45">
      <c r="A7">
        <v>6</v>
      </c>
      <c r="B7" t="s">
        <v>167</v>
      </c>
      <c r="C7" t="s">
        <v>172</v>
      </c>
      <c r="D7">
        <v>1</v>
      </c>
      <c r="E7" t="s">
        <v>159</v>
      </c>
      <c r="F7" t="s">
        <v>178</v>
      </c>
      <c r="G7" t="inlineStr">
        <is>
          <t>Basic</t>
        </is>
      </c>
      <c r="H7">
        <v>0.168</v>
      </c>
      <c r="I7" s="3">
        <f>RocketLocator[[#This Row],[Quantity]]*RocketLocator[[#This Row],[Unit Cost]]</f>
        <v>0.168</v>
      </c>
      <c r="J7">
        <v>150</v>
      </c>
      <c r="K7">
        <v>4</v>
      </c>
      <c r="L7">
        <f>IF(AND(RocketLocator[[#This Row],[Quantity]]&gt;0,RocketLocator[[#This Row],[JLCPCB Part '#（optional）]]&lt;&gt;"N/A"),Assumptions!$B$1*RocketLocator[[#This Row],[Quantity]]+RocketLocator[[#This Row],[Attrition Quantity]],0)</f>
        <v>34</v>
      </c>
      <c r="M7" t="str">
        <f>IF(RocketLocator[[#This Row],[Quantity Needed]]&gt;RocketLocator[[#This Row],[Quantity on Hand]],RocketLocator[[#This Row],[Quantity Needed]]-RocketLocator[[#This Row],[Quantity on Hand]],"")</f>
        <v/>
      </c>
      <c r="Q7" t="inlineStr">
        <is>
          <t xml:space="preserve">X5R; JLCPCB now lists as Basic (was Extended)</t>
        </is>
      </c>
    </row>
    <row r="8" spans="1:17" x14ac:dyDescent="0.45">
      <c r="A8">
        <v>7</v>
      </c>
      <c r="B8" t="s">
        <v>158</v>
      </c>
      <c r="C8" t="s">
        <v>15</v>
      </c>
      <c r="D8">
        <v>1</v>
      </c>
      <c r="E8" t="s">
        <v>166</v>
      </c>
      <c r="F8" t="s">
        <v>177</v>
      </c>
      <c r="G8" t="inlineStr">
        <is>
          <t>Extended</t>
        </is>
      </c>
      <c r="H8">
        <v>0.0157</v>
      </c>
      <c r="I8" s="3">
        <f>RocketLocator[[#This Row],[Quantity]]*RocketLocator[[#This Row],[Unit Cost]]</f>
        <v>0.0157</v>
      </c>
      <c r="J8">
        <v>500</v>
      </c>
      <c r="L8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8" t="str">
        <f>IF(RocketLocator[[#This Row],[Quantity Needed]]&gt;RocketLocator[[#This Row],[Quantity on Hand]],RocketLocator[[#This Row],[Quantity Needed]]-RocketLocator[[#This Row],[Quantity on Hand]],"")</f>
        <v/>
      </c>
      <c r="Q8" t="s">
        <v>168</v>
      </c>
    </row>
    <row r="9" spans="1:13" x14ac:dyDescent="0.45">
      <c r="A9">
        <v>8</v>
      </c>
      <c r="B9" t="s">
        <v>66</v>
      </c>
      <c r="C9" t="s">
        <v>67</v>
      </c>
      <c r="D9">
        <v>1</v>
      </c>
      <c r="E9" t="s">
        <v>68</v>
      </c>
      <c r="F9" t="s">
        <v>121</v>
      </c>
      <c r="G9" t="inlineStr">
        <is>
          <t>Extended</t>
        </is>
      </c>
      <c r="H9">
        <v>0.013</v>
      </c>
      <c r="I9" s="3">
        <f>RocketLocator[[#This Row],[Quantity]]*RocketLocator[[#This Row],[Unit Cost]]</f>
        <v>0.013</v>
      </c>
      <c r="J9">
        <v>400</v>
      </c>
      <c r="K9">
        <v>10</v>
      </c>
      <c r="L9">
        <f>IF(AND(RocketLocator[[#This Row],[Quantity]]&gt;0,RocketLocator[[#This Row],[JLCPCB Part '#（optional）]]&lt;&gt;"N/A"),Assumptions!$B$1*RocketLocator[[#This Row],[Quantity]]+RocketLocator[[#This Row],[Attrition Quantity]],0)</f>
        <v>40</v>
      </c>
      <c r="M9" t="str">
        <f>IF(RocketLocator[[#This Row],[Quantity Needed]]&gt;RocketLocator[[#This Row],[Quantity on Hand]],RocketLocator[[#This Row],[Quantity Needed]]-RocketLocator[[#This Row],[Quantity on Hand]],"")</f>
        <v/>
      </c>
    </row>
    <row r="10" spans="1:17" x14ac:dyDescent="0.45">
      <c r="A10">
        <v>9</v>
      </c>
      <c r="B10" t="s">
        <v>33</v>
      </c>
      <c r="C10" t="s">
        <v>34</v>
      </c>
      <c r="D10">
        <v>2</v>
      </c>
      <c r="E10" t="s">
        <v>34</v>
      </c>
      <c r="F10" t="s">
        <v>122</v>
      </c>
      <c r="G10" t="inlineStr">
        <is>
          <t>Extended</t>
        </is>
      </c>
      <c r="H10">
        <v>0.0158</v>
      </c>
      <c r="I10" s="3">
        <f>RocketLocator[[#This Row],[Quantity]]*RocketLocator[[#This Row],[Unit Cost]]</f>
        <v>0.0316</v>
      </c>
      <c r="J10">
        <v>72</v>
      </c>
      <c r="K10">
        <v>4</v>
      </c>
      <c r="L10">
        <f>IF(AND(RocketLocator[[#This Row],[Quantity]]&gt;0,RocketLocator[[#This Row],[JLCPCB Part '#（optional）]]&lt;&gt;"N/A"),Assumptions!$B$1*RocketLocator[[#This Row],[Quantity]]+RocketLocator[[#This Row],[Attrition Quantity]],0)</f>
        <v>64</v>
      </c>
      <c r="M10" t="str">
        <f>IF(RocketLocator[[#This Row],[Quantity Needed]]&gt;RocketLocator[[#This Row],[Quantity on Hand]],RocketLocator[[#This Row],[Quantity Needed]]-RocketLocator[[#This Row],[Quantity on Hand]],"")</f>
        <v/>
      </c>
      <c r="Q10" t="inlineStr">
        <is>
          <t xml:space="preserve">JLCPCB part is XL-Z1921RGBA-SG; KiCad value/footprint say XL-Z1912RGBA-SG</t>
        </is>
      </c>
    </row>
    <row r="11" spans="1:13" x14ac:dyDescent="0.45">
      <c r="A11">
        <v>10</v>
      </c>
      <c r="B11" t="s">
        <v>181</v>
      </c>
      <c r="C11" t="s">
        <v>42</v>
      </c>
      <c r="D11">
        <v>4</v>
      </c>
      <c r="E11" t="s">
        <v>43</v>
      </c>
      <c r="F11" t="s">
        <v>123</v>
      </c>
      <c r="I11" s="3">
        <f>RocketLocator[[#This Row],[Quantity]]*RocketLocator[[#This Row],[Unit Cost]]</f>
        <v>0</v>
      </c>
      <c r="L11">
        <f>IF(AND(RocketLocator[[#This Row],[Quantity]]&gt;0,RocketLocator[[#This Row],[JLCPCB Part '#（optional）]]&lt;&gt;"N/A"),Assumptions!$B$1*RocketLocator[[#This Row],[Quantity]]+RocketLocator[[#This Row],[Attrition Quantity]],0)</f>
        <v>0</v>
      </c>
      <c r="M11" t="str">
        <f>IF(RocketLocator[[#This Row],[Quantity Needed]]&gt;RocketLocator[[#This Row],[Quantity on Hand]],RocketLocator[[#This Row],[Quantity Needed]]-RocketLocator[[#This Row],[Quantity on Hand]],"")</f>
        <v/>
      </c>
    </row>
    <row r="12" spans="1:13" x14ac:dyDescent="0.45">
      <c r="A12">
        <v>11</v>
      </c>
      <c r="B12" t="s">
        <v>35</v>
      </c>
      <c r="C12" t="s">
        <v>36</v>
      </c>
      <c r="D12">
        <v>1</v>
      </c>
      <c r="E12" t="s">
        <v>37</v>
      </c>
      <c r="F12" t="s">
        <v>124</v>
      </c>
      <c r="G12" t="inlineStr">
        <is>
          <t>Extended</t>
        </is>
      </c>
      <c r="H12">
        <v>0.0635</v>
      </c>
      <c r="I12" s="3">
        <f>RocketLocator[[#This Row],[Quantity]]*RocketLocator[[#This Row],[Unit Cost]]</f>
        <v>0.0635</v>
      </c>
      <c r="J12">
        <v>257</v>
      </c>
      <c r="L12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12" t="str">
        <f>IF(RocketLocator[[#This Row],[Quantity Needed]]&gt;RocketLocator[[#This Row],[Quantity on Hand]],RocketLocator[[#This Row],[Quantity Needed]]-RocketLocator[[#This Row],[Quantity on Hand]],"")</f>
        <v/>
      </c>
    </row>
    <row r="13" spans="1:13" x14ac:dyDescent="0.45">
      <c r="A13">
        <v>12</v>
      </c>
      <c r="B13" t="s">
        <v>44</v>
      </c>
      <c r="C13" t="s">
        <v>31</v>
      </c>
      <c r="D13">
        <v>1</v>
      </c>
      <c r="E13" t="s">
        <v>45</v>
      </c>
      <c r="F13" t="s">
        <v>123</v>
      </c>
      <c r="I13" s="3">
        <f>RocketLocator[[#This Row],[Quantity]]*RocketLocator[[#This Row],[Unit Cost]]</f>
        <v>0</v>
      </c>
      <c r="L13">
        <f>IF(AND(RocketLocator[[#This Row],[Quantity]]&gt;0,RocketLocator[[#This Row],[JLCPCB Part '#（optional）]]&lt;&gt;"N/A"),Assumptions!$B$1*RocketLocator[[#This Row],[Quantity]]+RocketLocator[[#This Row],[Attrition Quantity]],0)</f>
        <v>0</v>
      </c>
      <c r="M13" t="str">
        <f>IF(RocketLocator[[#This Row],[Quantity Needed]]&gt;RocketLocator[[#This Row],[Quantity on Hand]],RocketLocator[[#This Row],[Quantity Needed]]-RocketLocator[[#This Row],[Quantity on Hand]],"")</f>
        <v/>
      </c>
    </row>
    <row r="14" spans="1:13" x14ac:dyDescent="0.45">
      <c r="A14">
        <v>13</v>
      </c>
      <c r="B14" t="s">
        <v>30</v>
      </c>
      <c r="C14" t="s">
        <v>31</v>
      </c>
      <c r="D14">
        <v>1</v>
      </c>
      <c r="E14" t="s">
        <v>32</v>
      </c>
      <c r="F14" t="s">
        <v>123</v>
      </c>
      <c r="I14" s="3">
        <f>RocketLocator[[#This Row],[Quantity]]*RocketLocator[[#This Row],[Unit Cost]]</f>
        <v>0</v>
      </c>
      <c r="L14">
        <f>IF(AND(RocketLocator[[#This Row],[Quantity]]&gt;0,RocketLocator[[#This Row],[JLCPCB Part '#（optional）]]&lt;&gt;"N/A"),Assumptions!$B$1*RocketLocator[[#This Row],[Quantity]]+RocketLocator[[#This Row],[Attrition Quantity]],0)</f>
        <v>0</v>
      </c>
      <c r="M14" t="str">
        <f>IF(RocketLocator[[#This Row],[Quantity Needed]]&gt;RocketLocator[[#This Row],[Quantity on Hand]],RocketLocator[[#This Row],[Quantity Needed]]-RocketLocator[[#This Row],[Quantity on Hand]],"")</f>
        <v/>
      </c>
    </row>
    <row r="15" spans="1:13" x14ac:dyDescent="0.45">
      <c r="A15">
        <v>14</v>
      </c>
      <c r="B15" t="s">
        <v>50</v>
      </c>
      <c r="C15" t="s">
        <v>51</v>
      </c>
      <c r="D15">
        <v>1</v>
      </c>
      <c r="E15" t="s">
        <v>52</v>
      </c>
      <c r="F15" t="s">
        <v>123</v>
      </c>
      <c r="I15" s="3">
        <f>RocketLocator[[#This Row],[Quantity]]*RocketLocator[[#This Row],[Unit Cost]]</f>
        <v>0</v>
      </c>
      <c r="L15">
        <f>IF(AND(RocketLocator[[#This Row],[Quantity]]&gt;0,RocketLocator[[#This Row],[JLCPCB Part '#（optional）]]&lt;&gt;"N/A"),Assumptions!$B$1*RocketLocator[[#This Row],[Quantity]]+RocketLocator[[#This Row],[Attrition Quantity]],0)</f>
        <v>0</v>
      </c>
      <c r="M15" t="str">
        <f>IF(RocketLocator[[#This Row],[Quantity Needed]]&gt;RocketLocator[[#This Row],[Quantity on Hand]],RocketLocator[[#This Row],[Quantity Needed]]-RocketLocator[[#This Row],[Quantity on Hand]],"")</f>
        <v/>
      </c>
    </row>
    <row r="16" spans="1:13" x14ac:dyDescent="0.45">
      <c r="A16">
        <v>15</v>
      </c>
      <c r="B16" t="s">
        <v>63</v>
      </c>
      <c r="C16" t="s">
        <v>31</v>
      </c>
      <c r="D16">
        <v>1</v>
      </c>
      <c r="E16" t="s">
        <v>64</v>
      </c>
      <c r="F16" t="s">
        <v>123</v>
      </c>
      <c r="I16" s="3">
        <f>RocketLocator[[#This Row],[Quantity]]*RocketLocator[[#This Row],[Unit Cost]]</f>
        <v>0</v>
      </c>
      <c r="L16">
        <f>IF(AND(RocketLocator[[#This Row],[Quantity]]&gt;0,RocketLocator[[#This Row],[JLCPCB Part '#（optional）]]&lt;&gt;"N/A"),Assumptions!$B$1*RocketLocator[[#This Row],[Quantity]]+RocketLocator[[#This Row],[Attrition Quantity]],0)</f>
        <v>0</v>
      </c>
      <c r="M16" t="str">
        <f>IF(RocketLocator[[#This Row],[Quantity Needed]]&gt;RocketLocator[[#This Row],[Quantity on Hand]],RocketLocator[[#This Row],[Quantity Needed]]-RocketLocator[[#This Row],[Quantity on Hand]],"")</f>
        <v/>
      </c>
    </row>
    <row r="17" spans="1:13" x14ac:dyDescent="0.45">
      <c r="A17">
        <v>16</v>
      </c>
      <c r="B17" t="s">
        <v>39</v>
      </c>
      <c r="C17" t="inlineStr">
        <is>
          <t xml:space="preserve">HRS_U.FL-R-SMT(01)</t>
        </is>
      </c>
      <c r="D17">
        <v>1</v>
      </c>
      <c r="E17" t="s">
        <v>41</v>
      </c>
      <c r="F17" t="s">
        <v>125</v>
      </c>
      <c r="G17" t="inlineStr">
        <is>
          <t>Extended</t>
        </is>
      </c>
      <c r="H17">
        <v>0.0417</v>
      </c>
      <c r="I17" s="3">
        <f>RocketLocator[[#This Row],[Quantity]]*RocketLocator[[#This Row],[Unit Cost]]</f>
        <v>0.0417</v>
      </c>
      <c r="J17">
        <v>279</v>
      </c>
      <c r="L17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17" t="str">
        <f>IF(RocketLocator[[#This Row],[Quantity Needed]]&gt;RocketLocator[[#This Row],[Quantity on Hand]],RocketLocator[[#This Row],[Quantity Needed]]-RocketLocator[[#This Row],[Quantity on Hand]],"")</f>
        <v/>
      </c>
    </row>
    <row r="18" spans="1:13" x14ac:dyDescent="0.45">
      <c r="A18">
        <v>17</v>
      </c>
      <c r="B18" t="s">
        <v>24</v>
      </c>
      <c r="C18" t="s">
        <v>25</v>
      </c>
      <c r="D18">
        <v>1</v>
      </c>
      <c r="E18" t="s">
        <v>26</v>
      </c>
      <c r="F18" t="s">
        <v>123</v>
      </c>
      <c r="I18" s="3">
        <f>RocketLocator[[#This Row],[Quantity]]*RocketLocator[[#This Row],[Unit Cost]]</f>
        <v>0</v>
      </c>
      <c r="L18">
        <f>IF(AND(RocketLocator[[#This Row],[Quantity]]&gt;0,RocketLocator[[#This Row],[JLCPCB Part '#（optional）]]&lt;&gt;"N/A"),Assumptions!$B$1*RocketLocator[[#This Row],[Quantity]]+RocketLocator[[#This Row],[Attrition Quantity]],0)</f>
        <v>0</v>
      </c>
      <c r="M18" t="str">
        <f>IF(RocketLocator[[#This Row],[Quantity Needed]]&gt;RocketLocator[[#This Row],[Quantity on Hand]],RocketLocator[[#This Row],[Quantity Needed]]-RocketLocator[[#This Row],[Quantity on Hand]],"")</f>
        <v/>
      </c>
    </row>
    <row r="19" spans="1:13" x14ac:dyDescent="0.45">
      <c r="A19">
        <v>18</v>
      </c>
      <c r="B19" t="s">
        <v>53</v>
      </c>
      <c r="C19" t="s">
        <v>54</v>
      </c>
      <c r="D19">
        <v>1</v>
      </c>
      <c r="E19" t="s">
        <v>55</v>
      </c>
      <c r="F19" t="s">
        <v>123</v>
      </c>
      <c r="I19" s="3">
        <f>RocketLocator[[#This Row],[Quantity]]*RocketLocator[[#This Row],[Unit Cost]]</f>
        <v>0</v>
      </c>
      <c r="L19">
        <f>IF(AND(RocketLocator[[#This Row],[Quantity]]&gt;0,RocketLocator[[#This Row],[JLCPCB Part '#（optional）]]&lt;&gt;"N/A"),Assumptions!$B$1*RocketLocator[[#This Row],[Quantity]]+RocketLocator[[#This Row],[Attrition Quantity]],0)</f>
        <v>0</v>
      </c>
      <c r="M19" t="str">
        <f>IF(RocketLocator[[#This Row],[Quantity Needed]]&gt;RocketLocator[[#This Row],[Quantity on Hand]],RocketLocator[[#This Row],[Quantity Needed]]-RocketLocator[[#This Row],[Quantity on Hand]],"")</f>
        <v/>
      </c>
    </row>
    <row r="20" spans="1:13" x14ac:dyDescent="0.45">
      <c r="A20">
        <v>19</v>
      </c>
      <c r="B20" t="s">
        <v>163</v>
      </c>
      <c r="C20" t="s">
        <v>18</v>
      </c>
      <c r="D20">
        <v>1</v>
      </c>
      <c r="E20" t="s">
        <v>22</v>
      </c>
      <c r="F20" t="s">
        <v>126</v>
      </c>
      <c r="G20" t="inlineStr">
        <is>
          <t>Extended</t>
        </is>
      </c>
      <c r="H20">
        <v>0.0218</v>
      </c>
      <c r="I20" s="3">
        <f>RocketLocator[[#This Row],[Quantity]]*RocketLocator[[#This Row],[Unit Cost]]</f>
        <v>0.0218</v>
      </c>
      <c r="J20">
        <v>75</v>
      </c>
      <c r="K20">
        <v>5</v>
      </c>
      <c r="L20">
        <f>IF(AND(RocketLocator[[#This Row],[Quantity]]&gt;0,RocketLocator[[#This Row],[JLCPCB Part '#（optional）]]&lt;&gt;"N/A"),Assumptions!$B$1*RocketLocator[[#This Row],[Quantity]]+RocketLocator[[#This Row],[Attrition Quantity]],0)</f>
        <v>35</v>
      </c>
      <c r="M20" t="str">
        <f>IF(RocketLocator[[#This Row],[Quantity Needed]]&gt;RocketLocator[[#This Row],[Quantity on Hand]],RocketLocator[[#This Row],[Quantity Needed]]-RocketLocator[[#This Row],[Quantity on Hand]],"")</f>
        <v/>
      </c>
    </row>
    <row r="21" spans="1:13" x14ac:dyDescent="0.45">
      <c r="A21">
        <v>20</v>
      </c>
      <c r="B21" t="s">
        <v>17</v>
      </c>
      <c r="C21" t="s">
        <v>18</v>
      </c>
      <c r="D21">
        <v>1</v>
      </c>
      <c r="E21" t="s">
        <v>19</v>
      </c>
      <c r="F21" t="s">
        <v>127</v>
      </c>
      <c r="G21" t="inlineStr">
        <is>
          <t>Extended</t>
        </is>
      </c>
      <c r="H21">
        <v>0.0403</v>
      </c>
      <c r="I21" s="3">
        <f>RocketLocator[[#This Row],[Quantity]]*RocketLocator[[#This Row],[Unit Cost]]</f>
        <v>0.0403</v>
      </c>
      <c r="J21">
        <v>42</v>
      </c>
      <c r="K21">
        <v>4</v>
      </c>
      <c r="L21">
        <f>IF(AND(RocketLocator[[#This Row],[Quantity]]&gt;0,RocketLocator[[#This Row],[JLCPCB Part '#（optional）]]&lt;&gt;"N/A"),Assumptions!$B$1*RocketLocator[[#This Row],[Quantity]]+RocketLocator[[#This Row],[Attrition Quantity]],0)</f>
        <v>34</v>
      </c>
      <c r="M21" t="str">
        <f>IF(RocketLocator[[#This Row],[Quantity Needed]]&gt;RocketLocator[[#This Row],[Quantity on Hand]],RocketLocator[[#This Row],[Quantity Needed]]-RocketLocator[[#This Row],[Quantity on Hand]],"")</f>
        <v/>
      </c>
    </row>
    <row r="22" spans="1:17" x14ac:dyDescent="0.45">
      <c r="A22">
        <v>21</v>
      </c>
      <c r="B22" t="inlineStr">
        <is>
          <t xml:space="preserve">Q4,Q5,Q6,Q7</t>
        </is>
      </c>
      <c r="C22" t="inlineStr">
        <is>
          <t xml:space="preserve">Nexperia_DFN1010D-3_SOT1215</t>
        </is>
      </c>
      <c r="D22">
        <v>4</v>
      </c>
      <c r="E22" t="inlineStr">
        <is>
          <t xml:space="preserve">PMXB43UNE</t>
        </is>
      </c>
      <c r="F22" t="inlineStr">
        <is>
          <t xml:space="preserve">C547273</t>
        </is>
      </c>
      <c r="G22" t="inlineStr">
        <is>
          <t>Extended</t>
        </is>
      </c>
      <c r="H22">
        <v>0.5428</v>
      </c>
      <c r="I22" s="3">
        <f>RocketLocator[[#This Row],[Quantity]]*RocketLocator[[#This Row],[Unit Cost]]</f>
        <v>2.1712</v>
      </c>
      <c r="K22">
        <v>4</v>
      </c>
      <c r="L22">
        <f>IF(AND(RocketLocator[[#This Row],[Quantity]]&gt;0,RocketLocator[[#This Row],[JLCPCB Part '#（optional）]]&lt;&gt;"N/A"),Assumptions!$B$1*RocketLocator[[#This Row],[Quantity]]+RocketLocator[[#This Row],[Attrition Quantity]],0)</f>
        <v>124</v>
      </c>
      <c r="M22">
        <f>IF(RocketLocator[[#This Row],[Quantity Needed]]&gt;RocketLocator[[#This Row],[Quantity on Hand]],RocketLocator[[#This Row],[Quantity Needed]]-RocketLocator[[#This Row],[Quantity on Hand]],"")</f>
        <v>124</v>
      </c>
      <c r="Q22" t="inlineStr">
        <is>
          <t xml:space="preserve">New: deploy low-side FETs (Topology A); PMXB43UNEZ, unit cost is LCSC 100+ price (Oct 2026)</t>
        </is>
      </c>
    </row>
    <row r="23" spans="1:13" x14ac:dyDescent="0.45">
      <c r="A23">
        <v>22</v>
      </c>
      <c r="B23" t="s">
        <v>86</v>
      </c>
      <c r="C23" t="s">
        <v>7</v>
      </c>
      <c r="D23">
        <v>2</v>
      </c>
      <c r="E23" t="s">
        <v>87</v>
      </c>
      <c r="F23" t="s">
        <v>128</v>
      </c>
      <c r="G23" t="inlineStr">
        <is>
          <t>Extended</t>
        </is>
      </c>
      <c r="H23">
        <v>0.0014</v>
      </c>
      <c r="I23" s="3">
        <f>RocketLocator[[#This Row],[Quantity]]*RocketLocator[[#This Row],[Unit Cost]]</f>
        <v>0.0028</v>
      </c>
      <c r="J23">
        <v>2930</v>
      </c>
      <c r="K23">
        <v>10</v>
      </c>
      <c r="L23">
        <f>IF(AND(RocketLocator[[#This Row],[Quantity]]&gt;0,RocketLocator[[#This Row],[JLCPCB Part '#（optional）]]&lt;&gt;"N/A"),Assumptions!$B$1*RocketLocator[[#This Row],[Quantity]]+RocketLocator[[#This Row],[Attrition Quantity]],0)</f>
        <v>70</v>
      </c>
      <c r="M23" t="str">
        <f>IF(RocketLocator[[#This Row],[Quantity Needed]]&gt;RocketLocator[[#This Row],[Quantity on Hand]],RocketLocator[[#This Row],[Quantity Needed]]-RocketLocator[[#This Row],[Quantity on Hand]],"")</f>
        <v/>
      </c>
    </row>
    <row r="24" spans="1:13" x14ac:dyDescent="0.45">
      <c r="A24">
        <v>23</v>
      </c>
      <c r="B24" t="s">
        <v>75</v>
      </c>
      <c r="C24" t="s">
        <v>7</v>
      </c>
      <c r="D24">
        <v>1</v>
      </c>
      <c r="E24" t="s">
        <v>175</v>
      </c>
      <c r="F24" t="inlineStr">
        <is>
          <t xml:space="preserve">C25207446</t>
        </is>
      </c>
      <c r="G24" t="inlineStr">
        <is>
          <t>Extended</t>
        </is>
      </c>
      <c r="H24">
        <v>0.0203</v>
      </c>
      <c r="I24" s="3">
        <f>RocketLocator[[#This Row],[Quantity]]*RocketLocator[[#This Row],[Unit Cost]]</f>
        <v>0.0203</v>
      </c>
      <c r="J24">
        <v>100</v>
      </c>
      <c r="K24">
        <v>0</v>
      </c>
      <c r="L24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24" t="str">
        <f>IF(RocketLocator[[#This Row],[Quantity Needed]]&gt;RocketLocator[[#This Row],[Quantity on Hand]],RocketLocator[[#This Row],[Quantity Needed]]-RocketLocator[[#This Row],[Quantity on Hand]],"")</f>
        <v/>
      </c>
    </row>
    <row r="25" spans="1:17" x14ac:dyDescent="0.45">
      <c r="A25">
        <v>24</v>
      </c>
      <c r="B25" t="s">
        <v>49</v>
      </c>
      <c r="C25" t="s">
        <v>7</v>
      </c>
      <c r="D25">
        <v>1</v>
      </c>
      <c r="E25">
        <v>33</v>
      </c>
      <c r="F25" t="s">
        <v>129</v>
      </c>
      <c r="G25" t="inlineStr">
        <is>
          <t>Basic</t>
        </is>
      </c>
      <c r="H25">
        <v>0.0011</v>
      </c>
      <c r="I25" s="3">
        <f>RocketLocator[[#This Row],[Quantity]]*RocketLocator[[#This Row],[Unit Cost]]</f>
        <v>0.0011</v>
      </c>
      <c r="J25">
        <v>80</v>
      </c>
      <c r="K25">
        <v>10</v>
      </c>
      <c r="L25">
        <f>IF(AND(RocketLocator[[#This Row],[Quantity]]&gt;0,RocketLocator[[#This Row],[JLCPCB Part '#（optional）]]&lt;&gt;"N/A"),Assumptions!$B$1*RocketLocator[[#This Row],[Quantity]]+RocketLocator[[#This Row],[Attrition Quantity]],0)</f>
        <v>40</v>
      </c>
      <c r="M25" t="str">
        <f>IF(RocketLocator[[#This Row],[Quantity Needed]]&gt;RocketLocator[[#This Row],[Quantity on Hand]],RocketLocator[[#This Row],[Quantity Needed]]-RocketLocator[[#This Row],[Quantity on Hand]],"")</f>
        <v/>
      </c>
      <c r="Q25" t="inlineStr">
        <is>
          <t xml:space="preserve">Schematic value 35</t>
        </is>
      </c>
    </row>
    <row r="26" spans="1:13" x14ac:dyDescent="0.45">
      <c r="A26">
        <v>25</v>
      </c>
      <c r="B26" t="s">
        <v>183</v>
      </c>
      <c r="C26" t="s">
        <v>7</v>
      </c>
      <c r="D26">
        <v>5</v>
      </c>
      <c r="E26" t="s">
        <v>12</v>
      </c>
      <c r="F26" t="s">
        <v>131</v>
      </c>
      <c r="G26" t="inlineStr">
        <is>
          <t>Extended</t>
        </is>
      </c>
      <c r="H26">
        <v>0.0019</v>
      </c>
      <c r="I26" s="3">
        <f>RocketLocator[[#This Row],[Quantity]]*RocketLocator[[#This Row],[Unit Cost]]</f>
        <v>0.0095</v>
      </c>
      <c r="J26">
        <v>150</v>
      </c>
      <c r="K26">
        <v>10</v>
      </c>
      <c r="L26">
        <f>IF(AND(RocketLocator[[#This Row],[Quantity]]&gt;0,RocketLocator[[#This Row],[JLCPCB Part '#（optional）]]&lt;&gt;"N/A"),Assumptions!$B$1*RocketLocator[[#This Row],[Quantity]]+RocketLocator[[#This Row],[Attrition Quantity]],0)</f>
        <v>160</v>
      </c>
      <c r="M26">
        <f>IF(RocketLocator[[#This Row],[Quantity Needed]]&gt;RocketLocator[[#This Row],[Quantity on Hand]],RocketLocator[[#This Row],[Quantity Needed]]-RocketLocator[[#This Row],[Quantity on Hand]],"")</f>
        <v>10</v>
      </c>
    </row>
    <row r="27" spans="1:13" x14ac:dyDescent="0.45">
      <c r="A27">
        <v>26</v>
      </c>
      <c r="B27" t="inlineStr">
        <is>
          <t xml:space="preserve">R3,R17,R30</t>
        </is>
      </c>
      <c r="C27" t="s">
        <v>7</v>
      </c>
      <c r="D27">
        <v>3</v>
      </c>
      <c r="E27" t="s">
        <v>21</v>
      </c>
      <c r="F27" t="s">
        <v>132</v>
      </c>
      <c r="G27" t="inlineStr">
        <is>
          <t>Basic</t>
        </is>
      </c>
      <c r="H27">
        <v>0.0015</v>
      </c>
      <c r="I27" s="3">
        <f>RocketLocator[[#This Row],[Quantity]]*RocketLocator[[#This Row],[Unit Cost]]</f>
        <v>0.0045</v>
      </c>
      <c r="J27">
        <v>150</v>
      </c>
      <c r="K27">
        <v>10</v>
      </c>
      <c r="L27">
        <f>IF(AND(RocketLocator[[#This Row],[Quantity]]&gt;0,RocketLocator[[#This Row],[JLCPCB Part '#（optional）]]&lt;&gt;"N/A"),Assumptions!$B$1*RocketLocator[[#This Row],[Quantity]]+RocketLocator[[#This Row],[Attrition Quantity]],0)</f>
        <v>100</v>
      </c>
      <c r="M27" t="str">
        <f>IF(RocketLocator[[#This Row],[Quantity Needed]]&gt;RocketLocator[[#This Row],[Quantity on Hand]],RocketLocator[[#This Row],[Quantity Needed]]-RocketLocator[[#This Row],[Quantity on Hand]],"")</f>
        <v/>
      </c>
    </row>
    <row r="28" spans="1:13" x14ac:dyDescent="0.45">
      <c r="A28">
        <v>27</v>
      </c>
      <c r="B28" t="s">
        <v>96</v>
      </c>
      <c r="C28" t="s">
        <v>7</v>
      </c>
      <c r="D28">
        <v>1</v>
      </c>
      <c r="E28" t="s">
        <v>97</v>
      </c>
      <c r="F28" t="s">
        <v>133</v>
      </c>
      <c r="G28" t="inlineStr">
        <is>
          <t>Basic</t>
        </is>
      </c>
      <c r="H28">
        <v>0.0012</v>
      </c>
      <c r="I28" s="3">
        <f>RocketLocator[[#This Row],[Quantity]]*RocketLocator[[#This Row],[Unit Cost]]</f>
        <v>0.0012</v>
      </c>
      <c r="J28">
        <v>74</v>
      </c>
      <c r="K28">
        <v>10</v>
      </c>
      <c r="L28">
        <f>IF(AND(RocketLocator[[#This Row],[Quantity]]&gt;0,RocketLocator[[#This Row],[JLCPCB Part '#（optional）]]&lt;&gt;"N/A"),Assumptions!$B$1*RocketLocator[[#This Row],[Quantity]]+RocketLocator[[#This Row],[Attrition Quantity]],0)</f>
        <v>40</v>
      </c>
      <c r="M28" t="str">
        <f>IF(RocketLocator[[#This Row],[Quantity Needed]]&gt;RocketLocator[[#This Row],[Quantity on Hand]],RocketLocator[[#This Row],[Quantity Needed]]-RocketLocator[[#This Row],[Quantity on Hand]],"")</f>
        <v/>
      </c>
    </row>
    <row r="29" spans="1:13" x14ac:dyDescent="0.45">
      <c r="A29">
        <v>28</v>
      </c>
      <c r="B29" t="s">
        <v>185</v>
      </c>
      <c r="C29" t="s">
        <v>7</v>
      </c>
      <c r="D29">
        <v>2</v>
      </c>
      <c r="E29" t="s">
        <v>23</v>
      </c>
      <c r="F29" t="s">
        <v>134</v>
      </c>
      <c r="G29" t="inlineStr">
        <is>
          <t>Basic</t>
        </is>
      </c>
      <c r="H29">
        <v>0.0034</v>
      </c>
      <c r="I29" s="3">
        <f>RocketLocator[[#This Row],[Quantity]]*RocketLocator[[#This Row],[Unit Cost]]</f>
        <v>0.0068</v>
      </c>
      <c r="J29">
        <v>890</v>
      </c>
      <c r="K29">
        <v>10</v>
      </c>
      <c r="L29">
        <f>IF(AND(RocketLocator[[#This Row],[Quantity]]&gt;0,RocketLocator[[#This Row],[JLCPCB Part '#（optional）]]&lt;&gt;"N/A"),Assumptions!$B$1*RocketLocator[[#This Row],[Quantity]]+RocketLocator[[#This Row],[Attrition Quantity]],0)</f>
        <v>70</v>
      </c>
      <c r="M29" t="str">
        <f>IF(RocketLocator[[#This Row],[Quantity Needed]]&gt;RocketLocator[[#This Row],[Quantity on Hand]],RocketLocator[[#This Row],[Quantity Needed]]-RocketLocator[[#This Row],[Quantity on Hand]],"")</f>
        <v/>
      </c>
    </row>
    <row r="30" spans="1:13" x14ac:dyDescent="0.45">
      <c r="A30">
        <v>29</v>
      </c>
      <c r="B30" t="s">
        <v>186</v>
      </c>
      <c r="C30" t="s">
        <v>7</v>
      </c>
      <c r="D30">
        <v>4</v>
      </c>
      <c r="E30" t="s">
        <v>8</v>
      </c>
      <c r="F30" t="s">
        <v>135</v>
      </c>
      <c r="G30" t="inlineStr">
        <is>
          <t>Basic</t>
        </is>
      </c>
      <c r="H30">
        <v>0.002</v>
      </c>
      <c r="I30" s="3">
        <f>RocketLocator[[#This Row],[Quantity]]*RocketLocator[[#This Row],[Unit Cost]]</f>
        <v>0.008</v>
      </c>
      <c r="J30">
        <v>150</v>
      </c>
      <c r="K30">
        <v>10</v>
      </c>
      <c r="L30">
        <f>IF(AND(RocketLocator[[#This Row],[Quantity]]&gt;0,RocketLocator[[#This Row],[JLCPCB Part '#（optional）]]&lt;&gt;"N/A"),Assumptions!$B$1*RocketLocator[[#This Row],[Quantity]]+RocketLocator[[#This Row],[Attrition Quantity]],0)</f>
        <v>130</v>
      </c>
      <c r="M30" t="str">
        <f>IF(RocketLocator[[#This Row],[Quantity Needed]]&gt;RocketLocator[[#This Row],[Quantity on Hand]],RocketLocator[[#This Row],[Quantity Needed]]-RocketLocator[[#This Row],[Quantity on Hand]],"")</f>
        <v/>
      </c>
    </row>
    <row r="31" spans="1:13" x14ac:dyDescent="0.45">
      <c r="A31">
        <v>30</v>
      </c>
      <c r="B31" t="s">
        <v>187</v>
      </c>
      <c r="C31" t="s">
        <v>7</v>
      </c>
      <c r="D31">
        <v>7</v>
      </c>
      <c r="E31" t="s">
        <v>20</v>
      </c>
      <c r="F31" t="s">
        <v>136</v>
      </c>
      <c r="G31" t="inlineStr">
        <is>
          <t>Extended</t>
        </is>
      </c>
      <c r="H31">
        <v>0.0026</v>
      </c>
      <c r="I31" s="3">
        <f>RocketLocator[[#This Row],[Quantity]]*RocketLocator[[#This Row],[Unit Cost]]</f>
        <v>0.0182</v>
      </c>
      <c r="J31">
        <v>9705</v>
      </c>
      <c r="K31">
        <v>12</v>
      </c>
      <c r="L31">
        <f>IF(AND(RocketLocator[[#This Row],[Quantity]]&gt;0,RocketLocator[[#This Row],[JLCPCB Part '#（optional）]]&lt;&gt;"N/A"),Assumptions!$B$1*RocketLocator[[#This Row],[Quantity]]+RocketLocator[[#This Row],[Attrition Quantity]],0)</f>
        <v>222</v>
      </c>
      <c r="M31" t="str">
        <f>IF(RocketLocator[[#This Row],[Quantity Needed]]&gt;RocketLocator[[#This Row],[Quantity on Hand]],RocketLocator[[#This Row],[Quantity Needed]]-RocketLocator[[#This Row],[Quantity on Hand]],"")</f>
        <v/>
      </c>
    </row>
    <row r="32" spans="1:13" x14ac:dyDescent="0.45">
      <c r="A32">
        <v>31</v>
      </c>
      <c r="B32" t="s">
        <v>160</v>
      </c>
      <c r="C32" t="s">
        <v>7</v>
      </c>
      <c r="D32">
        <v>2</v>
      </c>
      <c r="E32" t="s">
        <v>161</v>
      </c>
      <c r="F32" t="s">
        <v>162</v>
      </c>
      <c r="G32" t="inlineStr">
        <is>
          <t>Basic</t>
        </is>
      </c>
      <c r="H32">
        <v>0.0021</v>
      </c>
      <c r="I32" s="3">
        <f>RocketLocator[[#This Row],[Quantity]]*RocketLocator[[#This Row],[Unit Cost]]</f>
        <v>0.0042</v>
      </c>
      <c r="J32">
        <v>970</v>
      </c>
      <c r="K32">
        <v>10</v>
      </c>
      <c r="L32">
        <f>IF(AND(RocketLocator[[#This Row],[Quantity]]&gt;0,RocketLocator[[#This Row],[JLCPCB Part '#（optional）]]&lt;&gt;"N/A"),Assumptions!$B$1*RocketLocator[[#This Row],[Quantity]]+RocketLocator[[#This Row],[Attrition Quantity]],0)</f>
        <v>70</v>
      </c>
      <c r="M32" t="str">
        <f>IF(RocketLocator[[#This Row],[Quantity Needed]]&gt;RocketLocator[[#This Row],[Quantity on Hand]],RocketLocator[[#This Row],[Quantity Needed]]-RocketLocator[[#This Row],[Quantity on Hand]],"")</f>
        <v/>
      </c>
    </row>
    <row r="33" spans="1:17" x14ac:dyDescent="0.45">
      <c r="A33">
        <v>32</v>
      </c>
      <c r="B33" t="inlineStr">
        <is>
          <t xml:space="preserve">R4,R16,R19,R35,R43,R45,R46,R47,R48</t>
        </is>
      </c>
      <c r="C33" t="s">
        <v>7</v>
      </c>
      <c r="D33">
        <v>9</v>
      </c>
      <c r="E33" t="s">
        <v>11</v>
      </c>
      <c r="F33" t="s">
        <v>130</v>
      </c>
      <c r="G33" t="inlineStr">
        <is>
          <t>Basic</t>
        </is>
      </c>
      <c r="H33">
        <v>0.0012</v>
      </c>
      <c r="I33" s="3">
        <f>RocketLocator[[#This Row],[Quantity]]*RocketLocator[[#This Row],[Unit Cost]]</f>
        <v>0.0108</v>
      </c>
      <c r="J33">
        <v>960</v>
      </c>
      <c r="K33">
        <v>10</v>
      </c>
      <c r="L33">
        <f>IF(AND(RocketLocator[[#This Row],[Quantity]]&gt;0,RocketLocator[[#This Row],[JLCPCB Part '#（optional）]]&lt;&gt;"N/A"),Assumptions!$B$1*RocketLocator[[#This Row],[Quantity]]+RocketLocator[[#This Row],[Attrition Quantity]],0)</f>
        <v>280</v>
      </c>
      <c r="M33" t="str">
        <f>IF(RocketLocator[[#This Row],[Quantity Needed]]&gt;RocketLocator[[#This Row],[Quantity on Hand]],RocketLocator[[#This Row],[Quantity Needed]]-RocketLocator[[#This Row],[Quantity on Hand]],"")</f>
        <v/>
      </c>
      <c r="Q33" t="inlineStr">
        <is>
          <t xml:space="preserve">Schematic values R16=109, R19=98; R45-R48 are deploy FET gate resistors</t>
        </is>
      </c>
    </row>
    <row r="34" spans="1:13" x14ac:dyDescent="0.45">
      <c r="A34">
        <v>33</v>
      </c>
      <c r="B34" t="s">
        <v>28</v>
      </c>
      <c r="C34" t="s">
        <v>7</v>
      </c>
      <c r="D34">
        <v>3</v>
      </c>
      <c r="E34" t="s">
        <v>29</v>
      </c>
      <c r="F34" t="s">
        <v>137</v>
      </c>
      <c r="G34" t="inlineStr">
        <is>
          <t>Extended</t>
        </is>
      </c>
      <c r="H34">
        <v>0.0012</v>
      </c>
      <c r="I34" s="3">
        <f>RocketLocator[[#This Row],[Quantity]]*RocketLocator[[#This Row],[Unit Cost]]</f>
        <v>0.0036</v>
      </c>
      <c r="J34">
        <v>2940</v>
      </c>
      <c r="K34">
        <v>12</v>
      </c>
      <c r="L34">
        <f>IF(AND(RocketLocator[[#This Row],[Quantity]]&gt;0,RocketLocator[[#This Row],[JLCPCB Part '#（optional）]]&lt;&gt;"N/A"),Assumptions!$B$1*RocketLocator[[#This Row],[Quantity]]+RocketLocator[[#This Row],[Attrition Quantity]],0)</f>
        <v>102</v>
      </c>
      <c r="M34" t="str">
        <f>IF(RocketLocator[[#This Row],[Quantity Needed]]&gt;RocketLocator[[#This Row],[Quantity on Hand]],RocketLocator[[#This Row],[Quantity Needed]]-RocketLocator[[#This Row],[Quantity on Hand]],"")</f>
        <v/>
      </c>
    </row>
    <row r="35" spans="1:17" x14ac:dyDescent="0.45">
      <c r="A35">
        <v>34</v>
      </c>
      <c r="B35" t="s">
        <v>38</v>
      </c>
      <c r="C35" t="s">
        <v>7</v>
      </c>
      <c r="D35">
        <v>1</v>
      </c>
      <c r="E35">
        <v>220</v>
      </c>
      <c r="F35" t="s">
        <v>138</v>
      </c>
      <c r="G35" t="inlineStr">
        <is>
          <t>Basic</t>
        </is>
      </c>
      <c r="H35">
        <v>0.0018</v>
      </c>
      <c r="I35" s="3">
        <f>RocketLocator[[#This Row],[Quantity]]*RocketLocator[[#This Row],[Unit Cost]]</f>
        <v>0.0018</v>
      </c>
      <c r="J35">
        <v>3030</v>
      </c>
      <c r="K35">
        <v>10</v>
      </c>
      <c r="L35">
        <f>IF(AND(RocketLocator[[#This Row],[Quantity]]&gt;0,RocketLocator[[#This Row],[JLCPCB Part '#（optional）]]&lt;&gt;"N/A"),Assumptions!$B$1*RocketLocator[[#This Row],[Quantity]]+RocketLocator[[#This Row],[Attrition Quantity]],0)</f>
        <v>40</v>
      </c>
      <c r="M35" t="str">
        <f>IF(RocketLocator[[#This Row],[Quantity Needed]]&gt;RocketLocator[[#This Row],[Quantity on Hand]],RocketLocator[[#This Row],[Quantity Needed]]-RocketLocator[[#This Row],[Quantity on Hand]],"")</f>
        <v/>
      </c>
      <c r="Q35" t="inlineStr">
        <is>
          <t xml:space="preserve">Schematic value 218</t>
        </is>
      </c>
    </row>
    <row r="36" spans="1:17" x14ac:dyDescent="0.45">
      <c r="A36">
        <v>35</v>
      </c>
      <c r="B36" t="s">
        <v>56</v>
      </c>
      <c r="C36" t="s">
        <v>7</v>
      </c>
      <c r="D36">
        <v>1</v>
      </c>
      <c r="E36">
        <v>374</v>
      </c>
      <c r="F36" t="s">
        <v>139</v>
      </c>
      <c r="G36" t="inlineStr">
        <is>
          <t>Extended</t>
        </is>
      </c>
      <c r="H36">
        <v>0.0006</v>
      </c>
      <c r="I36" s="3">
        <f>RocketLocator[[#This Row],[Quantity]]*RocketLocator[[#This Row],[Unit Cost]]</f>
        <v>0.0006</v>
      </c>
      <c r="J36">
        <v>60</v>
      </c>
      <c r="K36">
        <v>10</v>
      </c>
      <c r="L36">
        <f>IF(AND(RocketLocator[[#This Row],[Quantity]]&gt;0,RocketLocator[[#This Row],[JLCPCB Part '#（optional）]]&lt;&gt;"N/A"),Assumptions!$B$1*RocketLocator[[#This Row],[Quantity]]+RocketLocator[[#This Row],[Attrition Quantity]],0)</f>
        <v>40</v>
      </c>
      <c r="M36" t="str">
        <f>IF(RocketLocator[[#This Row],[Quantity Needed]]&gt;RocketLocator[[#This Row],[Quantity on Hand]],RocketLocator[[#This Row],[Quantity Needed]]-RocketLocator[[#This Row],[Quantity on Hand]],"")</f>
        <v/>
      </c>
      <c r="Q36" t="inlineStr">
        <is>
          <t xml:space="preserve">Schematic value 375</t>
        </is>
      </c>
    </row>
    <row r="37" spans="1:13" x14ac:dyDescent="0.45">
      <c r="A37">
        <v>36</v>
      </c>
      <c r="B37" t="s">
        <v>98</v>
      </c>
      <c r="C37" t="s">
        <v>7</v>
      </c>
      <c r="D37">
        <v>1</v>
      </c>
      <c r="E37" t="s">
        <v>99</v>
      </c>
      <c r="F37" t="s">
        <v>140</v>
      </c>
      <c r="G37" t="inlineStr">
        <is>
          <t>Extended</t>
        </is>
      </c>
      <c r="H37">
        <v>0.0023</v>
      </c>
      <c r="I37" s="3">
        <f>RocketLocator[[#This Row],[Quantity]]*RocketLocator[[#This Row],[Unit Cost]]</f>
        <v>0.0023</v>
      </c>
      <c r="J37">
        <v>60</v>
      </c>
      <c r="K37">
        <v>10</v>
      </c>
      <c r="L37">
        <f>IF(AND(RocketLocator[[#This Row],[Quantity]]&gt;0,RocketLocator[[#This Row],[JLCPCB Part '#（optional）]]&lt;&gt;"N/A"),Assumptions!$B$1*RocketLocator[[#This Row],[Quantity]]+RocketLocator[[#This Row],[Attrition Quantity]],0)</f>
        <v>40</v>
      </c>
      <c r="M37" t="str">
        <f>IF(RocketLocator[[#This Row],[Quantity Needed]]&gt;RocketLocator[[#This Row],[Quantity on Hand]],RocketLocator[[#This Row],[Quantity Needed]]-RocketLocator[[#This Row],[Quantity on Hand]],"")</f>
        <v/>
      </c>
    </row>
    <row r="38" spans="1:13" x14ac:dyDescent="0.45">
      <c r="A38">
        <v>37</v>
      </c>
      <c r="B38" t="s">
        <v>77</v>
      </c>
      <c r="C38" t="s">
        <v>7</v>
      </c>
      <c r="D38">
        <v>1</v>
      </c>
      <c r="E38" t="s">
        <v>176</v>
      </c>
      <c r="F38" t="s">
        <v>173</v>
      </c>
      <c r="G38" t="inlineStr">
        <is>
          <t>Extended</t>
        </is>
      </c>
      <c r="H38">
        <v>0.0213</v>
      </c>
      <c r="I38" s="3">
        <f>RocketLocator[[#This Row],[Quantity]]*RocketLocator[[#This Row],[Unit Cost]]</f>
        <v>0.0213</v>
      </c>
      <c r="J38">
        <v>100</v>
      </c>
      <c r="K38">
        <v>10</v>
      </c>
      <c r="L38">
        <f>IF(AND(RocketLocator[[#This Row],[Quantity]]&gt;0,RocketLocator[[#This Row],[JLCPCB Part '#（optional）]]&lt;&gt;"N/A"),Assumptions!$B$1*RocketLocator[[#This Row],[Quantity]]+RocketLocator[[#This Row],[Attrition Quantity]],0)</f>
        <v>40</v>
      </c>
      <c r="M38" t="str">
        <f>IF(RocketLocator[[#This Row],[Quantity Needed]]&gt;RocketLocator[[#This Row],[Quantity on Hand]],RocketLocator[[#This Row],[Quantity Needed]]-RocketLocator[[#This Row],[Quantity on Hand]],"")</f>
        <v/>
      </c>
    </row>
    <row r="39" spans="1:17" x14ac:dyDescent="0.45">
      <c r="A39">
        <v>38</v>
      </c>
      <c r="B39" t="inlineStr">
        <is>
          <t xml:space="preserve">R20,R29,R42,R44,R49,R50,R51,R52</t>
        </is>
      </c>
      <c r="C39" t="s">
        <v>7</v>
      </c>
      <c r="D39">
        <v>8</v>
      </c>
      <c r="E39" t="s">
        <v>164</v>
      </c>
      <c r="F39" t="s">
        <v>141</v>
      </c>
      <c r="G39" t="inlineStr">
        <is>
          <t>Basic</t>
        </is>
      </c>
      <c r="H39">
        <v>0.0015</v>
      </c>
      <c r="I39" s="3">
        <f>RocketLocator[[#This Row],[Quantity]]*RocketLocator[[#This Row],[Unit Cost]]</f>
        <v>0.012</v>
      </c>
      <c r="J39">
        <v>4960</v>
      </c>
      <c r="K39">
        <v>10</v>
      </c>
      <c r="L39">
        <f>IF(AND(RocketLocator[[#This Row],[Quantity]]&gt;0,RocketLocator[[#This Row],[JLCPCB Part '#（optional）]]&lt;&gt;"N/A"),Assumptions!$B$1*RocketLocator[[#This Row],[Quantity]]+RocketLocator[[#This Row],[Attrition Quantity]],0)</f>
        <v>250</v>
      </c>
      <c r="M39" t="str">
        <f>IF(RocketLocator[[#This Row],[Quantity Needed]]&gt;RocketLocator[[#This Row],[Quantity on Hand]],RocketLocator[[#This Row],[Quantity Needed]]-RocketLocator[[#This Row],[Quantity on Hand]],"")</f>
        <v/>
      </c>
      <c r="Q39" t="inlineStr">
        <is>
          <t xml:space="preserve">R20 was 1M before Topology A; R49-R52 are deploy FET gate pulldowns</t>
        </is>
      </c>
    </row>
    <row r="40" spans="1:17" x14ac:dyDescent="0.45">
      <c r="A40">
        <v>39</v>
      </c>
      <c r="B40" t="inlineStr">
        <is>
          <t xml:space="preserve">R53,R54,R55,R56</t>
        </is>
      </c>
      <c r="C40" t="inlineStr">
        <is>
          <t xml:space="preserve">R_0402_1005Metric</t>
        </is>
      </c>
      <c r="D40">
        <v>4</v>
      </c>
      <c r="E40" t="inlineStr">
        <is>
          <t xml:space="preserve">1K</t>
        </is>
      </c>
      <c r="F40" t="inlineStr">
        <is>
          <t xml:space="preserve">C11702</t>
        </is>
      </c>
      <c r="G40" t="inlineStr">
        <is>
          <t>Basic</t>
        </is>
      </c>
      <c r="H40">
        <v>0.0013</v>
      </c>
      <c r="I40" s="3">
        <f>RocketLocator[[#This Row],[Quantity]]*RocketLocator[[#This Row],[Unit Cost]]</f>
        <v>0.0052</v>
      </c>
      <c r="K40">
        <v>10</v>
      </c>
      <c r="L40">
        <f>IF(AND(RocketLocator[[#This Row],[Quantity]]&gt;0,RocketLocator[[#This Row],[JLCPCB Part '#（optional）]]&lt;&gt;"N/A"),Assumptions!$B$1*RocketLocator[[#This Row],[Quantity]]+RocketLocator[[#This Row],[Attrition Quantity]],0)</f>
        <v>130</v>
      </c>
      <c r="M40">
        <f>IF(RocketLocator[[#This Row],[Quantity Needed]]&gt;RocketLocator[[#This Row],[Quantity on Hand]],RocketLocator[[#This Row],[Quantity Needed]]-RocketLocator[[#This Row],[Quantity on Hand]],"")</f>
        <v>130</v>
      </c>
      <c r="Q40" t="inlineStr">
        <is>
          <t xml:space="preserve">New: DEPLOY1+..4+ bleeders (Topology A); unit cost is LCSC 100+ price (Oct 2026)</t>
        </is>
      </c>
    </row>
    <row r="41" spans="1:13" x14ac:dyDescent="0.45">
      <c r="A41">
        <v>40</v>
      </c>
      <c r="B41" t="s">
        <v>190</v>
      </c>
      <c r="C41" t="s">
        <v>13</v>
      </c>
      <c r="D41">
        <v>5</v>
      </c>
      <c r="E41" t="s">
        <v>14</v>
      </c>
      <c r="F41" t="s">
        <v>142</v>
      </c>
      <c r="G41" t="inlineStr">
        <is>
          <t>Extended</t>
        </is>
      </c>
      <c r="H41">
        <v>0.5919</v>
      </c>
      <c r="I41" s="3">
        <f>RocketLocator[[#This Row],[Quantity]]*RocketLocator[[#This Row],[Unit Cost]]</f>
        <v>2.9595</v>
      </c>
      <c r="J41">
        <v>120</v>
      </c>
      <c r="K41">
        <v>0</v>
      </c>
      <c r="L41">
        <f>IF(AND(RocketLocator[[#This Row],[Quantity]]&gt;0,RocketLocator[[#This Row],[JLCPCB Part '#（optional）]]&lt;&gt;"N/A"),Assumptions!$B$1*RocketLocator[[#This Row],[Quantity]]+RocketLocator[[#This Row],[Attrition Quantity]],0)</f>
        <v>150</v>
      </c>
      <c r="M41">
        <f>IF(RocketLocator[[#This Row],[Quantity Needed]]&gt;RocketLocator[[#This Row],[Quantity on Hand]],RocketLocator[[#This Row],[Quantity Needed]]-RocketLocator[[#This Row],[Quantity on Hand]],"")</f>
        <v>30</v>
      </c>
    </row>
    <row r="42" spans="1:13" x14ac:dyDescent="0.45">
      <c r="A42">
        <v>41</v>
      </c>
      <c r="B42" t="s">
        <v>93</v>
      </c>
      <c r="C42" t="s">
        <v>94</v>
      </c>
      <c r="D42">
        <v>1</v>
      </c>
      <c r="E42" t="s">
        <v>95</v>
      </c>
      <c r="F42" t="s">
        <v>143</v>
      </c>
      <c r="G42" t="inlineStr">
        <is>
          <t>Extended</t>
        </is>
      </c>
      <c r="H42">
        <v>0.3336</v>
      </c>
      <c r="I42" s="3">
        <f>RocketLocator[[#This Row],[Quantity]]*RocketLocator[[#This Row],[Unit Cost]]</f>
        <v>0.3336</v>
      </c>
      <c r="J42">
        <v>30</v>
      </c>
      <c r="K42">
        <v>0</v>
      </c>
      <c r="L42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42" t="str">
        <f>IF(RocketLocator[[#This Row],[Quantity Needed]]&gt;RocketLocator[[#This Row],[Quantity on Hand]],RocketLocator[[#This Row],[Quantity Needed]]-RocketLocator[[#This Row],[Quantity on Hand]],"")</f>
        <v/>
      </c>
    </row>
    <row r="43" spans="1:17" x14ac:dyDescent="0.45">
      <c r="A43">
        <v>42</v>
      </c>
      <c r="B43" t="s">
        <v>100</v>
      </c>
      <c r="C43" t="inlineStr">
        <is>
          <t xml:space="preserve">WQFN 14 3.00 mm × 2.50 mm</t>
        </is>
      </c>
      <c r="D43">
        <v>1</v>
      </c>
      <c r="E43" t="s">
        <v>156</v>
      </c>
      <c r="F43" t="s">
        <v>155</v>
      </c>
      <c r="G43" t="inlineStr">
        <is>
          <t>Extended</t>
        </is>
      </c>
      <c r="H43">
        <v>0.3679</v>
      </c>
      <c r="I43" s="3">
        <f>RocketLocator[[#This Row],[Quantity]]*RocketLocator[[#This Row],[Unit Cost]]</f>
        <v>0.3679</v>
      </c>
      <c r="J43">
        <v>50</v>
      </c>
      <c r="K43">
        <v>0</v>
      </c>
      <c r="L43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43" t="str">
        <f>IF(RocketLocator[[#This Row],[Quantity Needed]]&gt;RocketLocator[[#This Row],[Quantity on Hand]],RocketLocator[[#This Row],[Quantity Needed]]-RocketLocator[[#This Row],[Quantity on Hand]],"")</f>
        <v/>
      </c>
      <c r="Q43" t="s">
        <v>154</v>
      </c>
    </row>
    <row r="44" spans="1:14" x14ac:dyDescent="0.45">
      <c r="A44">
        <v>43</v>
      </c>
      <c r="B44" t="s">
        <v>78</v>
      </c>
      <c r="C44" t="s">
        <v>79</v>
      </c>
      <c r="D44">
        <v>1</v>
      </c>
      <c r="E44" t="s">
        <v>80</v>
      </c>
      <c r="F44" t="s">
        <v>144</v>
      </c>
      <c r="G44" t="inlineStr">
        <is>
          <t>Extended</t>
        </is>
      </c>
      <c r="H44">
        <v>0.7504</v>
      </c>
      <c r="I44" s="3">
        <f>RocketLocator[[#This Row],[Quantity]]*RocketLocator[[#This Row],[Unit Cost]]</f>
        <v>0.7504</v>
      </c>
      <c r="J44">
        <v>0</v>
      </c>
      <c r="K44">
        <v>0</v>
      </c>
      <c r="L44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44">
        <f>IF(RocketLocator[[#This Row],[Quantity Needed]]&gt;RocketLocator[[#This Row],[Quantity on Hand]],RocketLocator[[#This Row],[Quantity Needed]]-RocketLocator[[#This Row],[Quantity on Hand]],"")</f>
        <v>30</v>
      </c>
      <c r="N44">
        <v>34</v>
      </c>
    </row>
    <row r="45" spans="1:13" x14ac:dyDescent="0.45">
      <c r="A45">
        <v>44</v>
      </c>
      <c r="B45" t="s">
        <v>4</v>
      </c>
      <c r="C45" t="s">
        <v>5</v>
      </c>
      <c r="D45">
        <v>1</v>
      </c>
      <c r="E45" t="s">
        <v>6</v>
      </c>
      <c r="F45" t="s">
        <v>145</v>
      </c>
      <c r="G45" t="inlineStr">
        <is>
          <t>Extended</t>
        </is>
      </c>
      <c r="H45">
        <v>14.1006</v>
      </c>
      <c r="I45" s="3">
        <f>RocketLocator[[#This Row],[Quantity]]*RocketLocator[[#This Row],[Unit Cost]]</f>
        <v>14.1006</v>
      </c>
      <c r="J45">
        <v>30</v>
      </c>
      <c r="K45">
        <v>0</v>
      </c>
      <c r="L45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45" t="str">
        <f>IF(RocketLocator[[#This Row],[Quantity Needed]]&gt;RocketLocator[[#This Row],[Quantity on Hand]],RocketLocator[[#This Row],[Quantity Needed]]-RocketLocator[[#This Row],[Quantity on Hand]],"")</f>
        <v/>
      </c>
    </row>
    <row r="46" spans="1:13" x14ac:dyDescent="0.45">
      <c r="A46">
        <v>45</v>
      </c>
      <c r="B46" t="s">
        <v>57</v>
      </c>
      <c r="C46" t="s">
        <v>58</v>
      </c>
      <c r="D46">
        <v>1</v>
      </c>
      <c r="E46" t="s">
        <v>59</v>
      </c>
      <c r="F46" t="s">
        <v>146</v>
      </c>
      <c r="G46" t="inlineStr">
        <is>
          <t>Extended</t>
        </is>
      </c>
      <c r="H46">
        <v>5.467</v>
      </c>
      <c r="I46" s="3">
        <f>RocketLocator[[#This Row],[Quantity]]*RocketLocator[[#This Row],[Unit Cost]]</f>
        <v>5.467</v>
      </c>
      <c r="J46">
        <v>30</v>
      </c>
      <c r="K46">
        <v>0</v>
      </c>
      <c r="L46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46" t="str">
        <f>IF(RocketLocator[[#This Row],[Quantity Needed]]&gt;RocketLocator[[#This Row],[Quantity on Hand]],RocketLocator[[#This Row],[Quantity Needed]]-RocketLocator[[#This Row],[Quantity on Hand]],"")</f>
        <v/>
      </c>
    </row>
    <row r="47" spans="1:13" x14ac:dyDescent="0.45">
      <c r="A47">
        <v>46</v>
      </c>
      <c r="B47" t="s">
        <v>90</v>
      </c>
      <c r="C47" t="s">
        <v>91</v>
      </c>
      <c r="D47">
        <v>1</v>
      </c>
      <c r="E47" t="s">
        <v>92</v>
      </c>
      <c r="F47" t="s">
        <v>147</v>
      </c>
      <c r="G47" t="inlineStr">
        <is>
          <t>Extended</t>
        </is>
      </c>
      <c r="H47">
        <v>2.0322</v>
      </c>
      <c r="I47" s="3">
        <f>RocketLocator[[#This Row],[Quantity]]*RocketLocator[[#This Row],[Unit Cost]]</f>
        <v>2.0322</v>
      </c>
      <c r="J47">
        <v>30</v>
      </c>
      <c r="K47">
        <v>0</v>
      </c>
      <c r="L47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47" t="str">
        <f>IF(RocketLocator[[#This Row],[Quantity Needed]]&gt;RocketLocator[[#This Row],[Quantity on Hand]],RocketLocator[[#This Row],[Quantity Needed]]-RocketLocator[[#This Row],[Quantity on Hand]],"")</f>
        <v/>
      </c>
    </row>
    <row r="48" spans="1:14" x14ac:dyDescent="0.45">
      <c r="A48">
        <v>47</v>
      </c>
      <c r="B48" t="s">
        <v>81</v>
      </c>
      <c r="C48" t="s">
        <v>82</v>
      </c>
      <c r="D48">
        <v>1</v>
      </c>
      <c r="E48" t="s">
        <v>82</v>
      </c>
      <c r="F48" t="s">
        <v>148</v>
      </c>
      <c r="G48" t="inlineStr">
        <is>
          <t>Extended</t>
        </is>
      </c>
      <c r="H48">
        <v>1.1346</v>
      </c>
      <c r="I48" s="3">
        <f>RocketLocator[[#This Row],[Quantity]]*RocketLocator[[#This Row],[Unit Cost]]</f>
        <v>1.1346</v>
      </c>
      <c r="J48">
        <v>0</v>
      </c>
      <c r="K48">
        <v>0</v>
      </c>
      <c r="L48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48">
        <f>IF(RocketLocator[[#This Row],[Quantity Needed]]&gt;RocketLocator[[#This Row],[Quantity on Hand]],RocketLocator[[#This Row],[Quantity Needed]]-RocketLocator[[#This Row],[Quantity on Hand]],"")</f>
        <v>30</v>
      </c>
      <c r="N48">
        <v>30</v>
      </c>
    </row>
    <row r="49" spans="1:13" x14ac:dyDescent="0.45">
      <c r="A49">
        <v>48</v>
      </c>
      <c r="B49" t="s">
        <v>46</v>
      </c>
      <c r="C49" t="s">
        <v>47</v>
      </c>
      <c r="D49">
        <v>1</v>
      </c>
      <c r="E49" t="s">
        <v>48</v>
      </c>
      <c r="F49" t="s">
        <v>149</v>
      </c>
      <c r="G49" t="inlineStr">
        <is>
          <t>Extended</t>
        </is>
      </c>
      <c r="H49">
        <v>20.5582</v>
      </c>
      <c r="I49" s="3">
        <f>RocketLocator[[#This Row],[Quantity]]*RocketLocator[[#This Row],[Unit Cost]]</f>
        <v>20.5582</v>
      </c>
      <c r="J49">
        <v>30</v>
      </c>
      <c r="K49">
        <v>0</v>
      </c>
      <c r="L49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49" t="str">
        <f>IF(RocketLocator[[#This Row],[Quantity Needed]]&gt;RocketLocator[[#This Row],[Quantity on Hand]],RocketLocator[[#This Row],[Quantity Needed]]-RocketLocator[[#This Row],[Quantity on Hand]],"")</f>
        <v/>
      </c>
    </row>
    <row r="50" spans="1:13" x14ac:dyDescent="0.45">
      <c r="A50">
        <v>49</v>
      </c>
      <c r="B50" t="s">
        <v>69</v>
      </c>
      <c r="C50" t="s">
        <v>70</v>
      </c>
      <c r="D50">
        <v>1</v>
      </c>
      <c r="E50" t="s">
        <v>71</v>
      </c>
      <c r="F50" t="s">
        <v>150</v>
      </c>
      <c r="G50" t="inlineStr">
        <is>
          <t>Extended</t>
        </is>
      </c>
      <c r="H50">
        <v>0.2927</v>
      </c>
      <c r="I50" s="3">
        <f>RocketLocator[[#This Row],[Quantity]]*RocketLocator[[#This Row],[Unit Cost]]</f>
        <v>0.2927</v>
      </c>
      <c r="J50">
        <v>60</v>
      </c>
      <c r="K50">
        <v>0</v>
      </c>
      <c r="L50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50" t="str">
        <f>IF(RocketLocator[[#This Row],[Quantity Needed]]&gt;RocketLocator[[#This Row],[Quantity on Hand]],RocketLocator[[#This Row],[Quantity Needed]]-RocketLocator[[#This Row],[Quantity on Hand]],"")</f>
        <v/>
      </c>
    </row>
    <row r="51" spans="1:13" x14ac:dyDescent="0.45">
      <c r="A51">
        <v>50</v>
      </c>
      <c r="B51" t="s">
        <v>83</v>
      </c>
      <c r="C51" t="s">
        <v>84</v>
      </c>
      <c r="D51">
        <v>1</v>
      </c>
      <c r="E51" t="s">
        <v>85</v>
      </c>
      <c r="F51" t="s">
        <v>152</v>
      </c>
      <c r="G51" t="inlineStr">
        <is>
          <t>Extended</t>
        </is>
      </c>
      <c r="H51">
        <v>0.4284</v>
      </c>
      <c r="I51" s="3">
        <f>RocketLocator[[#This Row],[Quantity]]*RocketLocator[[#This Row],[Unit Cost]]</f>
        <v>0.4284</v>
      </c>
      <c r="J51">
        <v>30</v>
      </c>
      <c r="K51">
        <v>0</v>
      </c>
      <c r="L51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51" t="str">
        <f>IF(RocketLocator[[#This Row],[Quantity Needed]]&gt;RocketLocator[[#This Row],[Quantity on Hand]],RocketLocator[[#This Row],[Quantity Needed]]-RocketLocator[[#This Row],[Quantity on Hand]],"")</f>
        <v/>
      </c>
    </row>
    <row r="52" spans="1:13" x14ac:dyDescent="0.45">
      <c r="A52">
        <v>51</v>
      </c>
      <c r="B52" t="s">
        <v>60</v>
      </c>
      <c r="C52" t="s">
        <v>61</v>
      </c>
      <c r="D52">
        <v>1</v>
      </c>
      <c r="E52" t="s">
        <v>62</v>
      </c>
      <c r="F52" t="s">
        <v>151</v>
      </c>
      <c r="G52" t="inlineStr">
        <is>
          <t>Extended</t>
        </is>
      </c>
      <c r="H52">
        <v>24.6878</v>
      </c>
      <c r="I52" s="3">
        <f>RocketLocator[[#This Row],[Quantity]]*RocketLocator[[#This Row],[Unit Cost]]</f>
        <v>24.6878</v>
      </c>
      <c r="J52">
        <v>30</v>
      </c>
      <c r="K52">
        <v>0</v>
      </c>
      <c r="L52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52" t="str">
        <f>IF(RocketLocator[[#This Row],[Quantity Needed]]&gt;RocketLocator[[#This Row],[Quantity on Hand]],RocketLocator[[#This Row],[Quantity Needed]]-RocketLocator[[#This Row],[Quantity on Hand]],"")</f>
        <v/>
      </c>
    </row>
    <row r="53" spans="1:13" x14ac:dyDescent="0.45">
      <c r="A53">
        <v>52</v>
      </c>
      <c r="B53" t="s">
        <v>72</v>
      </c>
      <c r="C53" t="s">
        <v>73</v>
      </c>
      <c r="D53">
        <v>1</v>
      </c>
      <c r="E53" t="s">
        <v>74</v>
      </c>
      <c r="F53" t="s">
        <v>153</v>
      </c>
      <c r="G53" t="inlineStr">
        <is>
          <t>Extended</t>
        </is>
      </c>
      <c r="H53">
        <v>0.1196</v>
      </c>
      <c r="I53" s="3">
        <f>RocketLocator[[#This Row],[Quantity]]*RocketLocator[[#This Row],[Unit Cost]]</f>
        <v>0.1196</v>
      </c>
      <c r="J53">
        <v>127</v>
      </c>
      <c r="K53">
        <v>0</v>
      </c>
      <c r="L53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53" t="str">
        <f>IF(RocketLocator[[#This Row],[Quantity Needed]]&gt;RocketLocator[[#This Row],[Quantity on Hand]],RocketLocator[[#This Row],[Quantity Needed]]-RocketLocator[[#This Row],[Quantity on Hand]],"")</f>
        <v/>
      </c>
    </row>
    <row r="54" spans="1:17" x14ac:dyDescent="0.45">
      <c r="A54">
        <v>53</v>
      </c>
      <c r="B54" t="s">
        <v>194</v>
      </c>
      <c r="C54" t="s">
        <v>195</v>
      </c>
      <c r="D54">
        <v>1</v>
      </c>
      <c r="E54" t="s">
        <v>196</v>
      </c>
      <c r="F54" t="s">
        <v>197</v>
      </c>
      <c r="G54" t="inlineStr">
        <is>
          <t>Extended</t>
        </is>
      </c>
      <c r="H54">
        <v>1.843</v>
      </c>
      <c r="I54" s="3">
        <f>RocketLocator[[#This Row],[Quantity]]*RocketLocator[[#This Row],[Unit Cost]]</f>
        <v>1.843</v>
      </c>
      <c r="K54">
        <v>0</v>
      </c>
      <c r="L54">
        <f>IF(AND(RocketLocator[[#This Row],[Quantity]]&gt;0,RocketLocator[[#This Row],[JLCPCB Part '#（optional）]]&lt;&gt;"N/A"),Assumptions!$B$1*RocketLocator[[#This Row],[Quantity]]+RocketLocator[[#This Row],[Attrition Quantity]],0)</f>
        <v>30</v>
      </c>
      <c r="M54" t="str">
        <f>IF(RocketLocator[[#This Row],[Quantity Needed]]&gt;RocketLocator[[#This Row],[Quantity on Hand]],RocketLocator[[#This Row],[Quantity Needed]]-RocketLocator[[#This Row],[Quantity on Hand]],"")</f>
        <v/>
      </c>
      <c r="Q54" t="s">
        <v>198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322C-DE23-41DA-8C86-07FC4436ACCB}">
  <sheetPr>
    <outlinePr summaryBelow="0" summaryRight="0"/>
  </sheetPr>
  <dimension ref="A1:B2"/>
  <sheetViews>
    <sheetView workbookViewId="0">
      <selection activeCell="B1" sqref="B1"/>
    </sheetView>
  </sheetViews>
  <sheetFormatPr defaultColWidth="14.3984375" defaultRowHeight="15" customHeight="1" x14ac:dyDescent="0.45"/>
  <cols>
    <col min="1" max="1" width="26" style="2" customWidth="1"/>
    <col min="2" max="2" width="9.265625" style="2" customWidth="1"/>
    <col min="3" max="16384" width="14.3984375" style="2"/>
  </cols>
  <sheetData>
    <row r="1" spans="1:2" ht="15" customHeight="1" x14ac:dyDescent="0.45">
      <c r="A1" s="2" t="s">
        <v>113</v>
      </c>
      <c r="B1" s="2">
        <v>30</v>
      </c>
    </row>
    <row r="2" spans="1:2" x14ac:dyDescent="0.45">
      <c r="A2" t="inlineStr">
        <is>
          <t>Unit cost source</t>
        </is>
      </c>
      <c r="B2" t="inlineStr">
        <is>
          <t>JLCPCB parts API, 2026-10-21; price tier for each row's Quantity Needed (USD)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B696679DAC6B43A24406F78E1A8E84" ma:contentTypeVersion="9" ma:contentTypeDescription="Create a new document." ma:contentTypeScope="" ma:versionID="08a0f35166a2e026befc5def1ecfb4a5">
  <xsd:schema xmlns:xsd="http://www.w3.org/2001/XMLSchema" xmlns:xs="http://www.w3.org/2001/XMLSchema" xmlns:p="http://schemas.microsoft.com/office/2006/metadata/properties" xmlns:ns3="a8c8bf39-7fc3-44e2-bfd5-34de8c5c6738" xmlns:ns4="2f9f5bec-8888-4585-9776-119851e1b1e8" targetNamespace="http://schemas.microsoft.com/office/2006/metadata/properties" ma:root="true" ma:fieldsID="7eb111b5730a5bb6cb5d525375d92b9a" ns3:_="" ns4:_="">
    <xsd:import namespace="a8c8bf39-7fc3-44e2-bfd5-34de8c5c6738"/>
    <xsd:import namespace="2f9f5bec-8888-4585-9776-119851e1b1e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8bf39-7fc3-44e2-bfd5-34de8c5c6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f5bec-8888-4585-9776-119851e1b1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c8bf39-7fc3-44e2-bfd5-34de8c5c6738" xsi:nil="true"/>
  </documentManagement>
</p:properties>
</file>

<file path=customXml/itemProps1.xml><?xml version="1.0" encoding="utf-8"?>
<ds:datastoreItem xmlns:ds="http://schemas.openxmlformats.org/officeDocument/2006/customXml" ds:itemID="{C10ABB68-14A6-4BFC-BC12-01D88E8ED2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5D6372-B25D-4785-8445-FC374735E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c8bf39-7fc3-44e2-bfd5-34de8c5c6738"/>
    <ds:schemaRef ds:uri="2f9f5bec-8888-4585-9776-119851e1b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7DAC94-37E4-47B8-ADA5-B3C0B88753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E9806FB-3035-4314-82B6-141810D6A3BB}">
  <ds:schemaRefs>
    <ds:schemaRef ds:uri="http://schemas.microsoft.com/office/2006/documentManagement/types"/>
    <ds:schemaRef ds:uri="http://purl.org/dc/terms/"/>
    <ds:schemaRef ds:uri="2f9f5bec-8888-4585-9776-119851e1b1e8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a8c8bf39-7fc3-44e2-bfd5-34de8c5c673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JLCPCB Upload</vt:lpstr>
      <vt:lpstr>RocketLocator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Schroer</dc:creator>
  <cp:lastModifiedBy>Frank Schroer (Contractor)</cp:lastModifiedBy>
  <dcterms:created xsi:type="dcterms:W3CDTF">2026-02-16T00:13:52Z</dcterms:created>
  <dcterms:modified xsi:type="dcterms:W3CDTF">2026-10-19T17:58:07Z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0x01010082B696679DAC6B43A24406F78E1A8E84</vt:lpwstr>
  </property>
</Properties>
</file>